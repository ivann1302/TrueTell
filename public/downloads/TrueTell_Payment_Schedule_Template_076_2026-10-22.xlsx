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0cd7e79c6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График" sheetId="1" r:id="Rec28dc03a40043d1"/>
    <x:sheet xmlns:r="http://schemas.openxmlformats.org/officeDocument/2006/relationships" name="Журнал" sheetId="2" r:id="Ra1b22ad17fcd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0.00"/>
    <x:numFmt numFmtId="201" formatCode="yyyy-mm-dd"/>
  </x:numFmts>
  <x:fonts count="5">
    <x:font>
      <x:sz val="11"/>
      <x:name val="Carlito"/>
    </x:font>
    <x:font>
      <x:sz val="10"/>
      <x:color rgb="FF101621"/>
      <x:name val="Arial"/>
    </x:font>
    <x:font>
      <x:b/>
      <x:sz val="14"/>
      <x:color rgb="FF101621"/>
      <x:name val="Arial"/>
    </x:font>
    <x:font>
      <x:sz val="10"/>
      <x:color rgb="FF1765D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EF5FF"/>
      </x:patternFill>
    </x:fill>
    <x:fill>
      <x:patternFill patternType="solid">
        <x:fgColor rgb="FF10162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  <x:xf numFmtId="201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A32828"/>
      </x:font>
      <x:fill>
        <x:patternFill patternType="solid">
          <x:bgColor rgb="FFFCEBEC"/>
        </x:patternFill>
      </x:fill>
    </x:dxf>
    <x:dxf>
      <x:font>
        <x:b/>
        <x:color rgb="FFA32828"/>
      </x:font>
      <x:fill>
        <x:patternFill patternType="solid">
          <x:bgColor rgb="FFFCEBEC"/>
        </x:patternFill>
      </x:fill>
    </x:dxf>
    <x:dxf>
      <x:font>
        <x:b/>
        <x:color rgb="FFA32828"/>
      </x:font>
      <x:fill>
        <x:patternFill patternType="solid">
          <x:bgColor rgb="FFFCEBEC"/>
        </x:patternFill>
      </x:fill>
    </x:dxf>
    <x:dxf>
      <x:font>
        <x:b/>
        <x:color rgb="FFA3282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b4ced7c2b144f0" /><Relationship Type="http://schemas.openxmlformats.org/officeDocument/2006/relationships/theme" Target="/xl/theme/theme1.xml" Id="R47e5be9a32994438" /><Relationship Type="http://schemas.openxmlformats.org/officeDocument/2006/relationships/sharedStrings" Target="/xl/sharedStrings.xml" Id="Rde728edbf3684889" /><Relationship Type="http://schemas.openxmlformats.org/officeDocument/2006/relationships/worksheet" Target="/xl/worksheets/sheet1.xml" Id="Rec28dc03a40043d1" /><Relationship Type="http://schemas.openxmlformats.org/officeDocument/2006/relationships/worksheet" Target="/xl/worksheets/sheet2.xml" Id="Ra1b22ad17fcd41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01621"/>
  </x:sheetPr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11.109999656677246" hidden="0" customWidth="1"/>
    <x:col min="2" max="2" width="16.110000610351562" hidden="0" customWidth="1"/>
    <x:col min="3" max="3" width="15.5600004196167" hidden="0" customWidth="1"/>
    <x:col min="4" max="4" width="16.110000610351562" hidden="0" customWidth="1"/>
    <x:col min="5" max="5" width="15.5600004196167" hidden="0" customWidth="1"/>
    <x:col min="6" max="6" width="16.670000076293945" hidden="0" customWidth="1"/>
    <x:col min="7" max="7" width="22.780000686645508" hidden="0" customWidth="1"/>
    <x:col min="8" max="8" width="36.66999816894531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3" t="str">
        <x:v>График платежей одной сделки</x:v>
      </x:c>
      <x:c r="B2" s="2"/>
      <x:c r="C2" s="2"/>
      <x:c r="D2" s="2"/>
      <x:c r="E2" s="2" t="str">
        <x:v>TrueTell · учебный шаблон · 076 / 22.10.2026</x:v>
      </x:c>
      <x:c r="F2" s="2"/>
      <x:c r="G2" s="2"/>
      <x:c r="H2" s="2"/>
    </x:row>
    <x:row r="3" ht="26" customHeight="1">
      <x:c r="A3" s="2"/>
      <x:c r="B3" s="2"/>
      <x:c r="C3" s="2"/>
      <x:c r="D3" s="2"/>
      <x:c r="E3" s="2"/>
      <x:c r="F3" s="2"/>
      <x:c r="G3" s="2"/>
      <x:c r="H3" s="2"/>
    </x:row>
    <x:row r="4" ht="26" customHeight="1">
      <x:c r="A4" s="2" t="str">
        <x:v>ID сделки</x:v>
      </x:c>
      <x:c r="B4" s="6" t="str">
        <x:v>DEMO-001</x:v>
      </x:c>
      <x:c r="C4" s="2" t="str">
        <x:v>Сумма, RUB</x:v>
      </x:c>
      <x:c r="D4" s="7" t="n">
        <x:v>120000</x:v>
      </x:c>
      <x:c r="E4" s="2" t="str">
        <x:v>На дату</x:v>
      </x:c>
      <x:c r="F4" s="8" t="n">
        <x:v>46317</x:v>
      </x:c>
      <x:c r="G4" s="2" t="str">
        <x:v>Версия</x:v>
      </x:c>
      <x:c r="H4" s="6" t="str">
        <x:v>v1 — учебная</x:v>
      </x:c>
    </x:row>
    <x:row r="5" ht="26" customHeight="1">
      <x:c r="A5" s="2"/>
      <x:c r="B5" s="2"/>
      <x:c r="C5" s="2"/>
      <x:c r="D5" s="2"/>
      <x:c r="E5" s="2"/>
      <x:c r="F5" s="2"/>
      <x:c r="G5" s="2"/>
      <x:c r="H5" s="2"/>
    </x:row>
    <x:row r="6" ht="36" customHeight="1">
      <x:c r="A6" s="2" t="str">
        <x:v>План, RUB</x:v>
      </x:c>
      <x:c r="B6" s="10" t="n">
        <x:f>IF($D$7&gt;0,"ПРОВЕРИТЬ",ROUND(SUM(C12:C31),2))</x:f>
        <x:v>120000</x:v>
      </x:c>
      <x:c r="C6" s="2" t="str">
        <x:v>Распределено, RUB</x:v>
      </x:c>
      <x:c r="D6" s="10" t="n">
        <x:f>IF($D$7&gt;0,"ПРОВЕРИТЬ",ROUND(SUM(D12:D31),2))</x:f>
        <x:v>48000</x:v>
      </x:c>
      <x:c r="E6" s="2" t="str">
        <x:v>Остаток, RUB</x:v>
      </x:c>
      <x:c r="F6" s="10" t="n">
        <x:f>IF($D$7&gt;0,"ПРОВЕРИТЬ",ROUND(SUM(E12:E31),2))</x:f>
        <x:v>72000</x:v>
      </x:c>
      <x:c r="G6" s="2" t="str">
        <x:v>Просрочка, RUB</x:v>
      </x:c>
      <x:c r="H6" s="10" t="n">
        <x:f>IF($D$7&gt;0,"ПРОВЕРИТЬ",ROUND(SUM(F12:F31),2))</x:f>
        <x:v>36000</x:v>
      </x:c>
    </x:row>
    <x:row r="7" ht="36" customHeight="1">
      <x:c r="A7" s="2" t="str">
        <x:v>Без даты, RUB</x:v>
      </x:c>
      <x:c r="B7" s="10" t="n">
        <x:f>IF($D$7&gt;0,"ПРОВЕРИТЬ",ROUND(SUMIF(B12:B31,0,E12:E31),2))</x:f>
        <x:v>0</x:v>
      </x:c>
      <x:c r="C7" s="9" t="str">
        <x:v>Проверок с ошибками</x:v>
      </x:c>
      <x:c r="D7" s="2" t="n">
        <x:f>COUNTIF(G12:G31,"ПРОВЕРИТЬ: ввод")+COUNTIF(G12:G31,"ПРОВЕРИТЬ: распределение")+COUNTIF('Журнал'!H10:H59,"ПРОВЕРИТЬ: строка")+COUNTIF('Журнал'!H10:H59,"ПРОВЕРИТЬ: дата среза")+IF(AND(B4&lt;&gt;"",H4&lt;&gt;"",IF(ISNUMBER(D4),AND(D4&gt;0,D4=ROUND(D4,2)),FALSE),IF(ISNUMBER(F4),AND(F4&gt;=1,F4&lt;=2958465,F4=INT(F4)),FALSE)),0,1)+IF(ISNUMBER(D4),IF(ROUND(SUM(C12:C31)-D4,2)=0,0,1),1)</x:f>
        <x:v>0</x:v>
      </x:c>
      <x:c r="E7" s="2" t="str">
        <x:v>Статус</x:v>
      </x:c>
      <x:c r="F7" s="9" t="str">
        <x:f>IF(D7&gt;0,"Не завершён",IF(B7&gt;0,"Есть сроки без дат","Расчёт готов"))</x:f>
        <x:v>Расчёт готов</x:v>
      </x:c>
      <x:c r="G7" s="9"/>
      <x:c r="H7" s="9"/>
    </x:row>
    <x:row r="8" ht="26" customHeight="1">
      <x:c r="A8" s="2"/>
      <x:c r="B8" s="2"/>
      <x:c r="C8" s="2"/>
      <x:c r="D8" s="2"/>
      <x:c r="E8" s="2"/>
      <x:c r="F8" s="2"/>
      <x:c r="G8" s="2"/>
      <x:c r="H8" s="2"/>
    </x:row>
    <x:row r="9" ht="26" customHeight="1">
      <x:c r="A9" s="2" t="str">
        <x:v>Синие ячейки — ввод. Столбцы D–G рассчитаются: не заменяйте формулы. При «ПРОВЕРИТЬ» исправьте ввод. Пример условный.</x:v>
      </x:c>
      <x:c r="B9" s="2"/>
      <x:c r="C9" s="2"/>
      <x:c r="D9" s="2"/>
      <x:c r="E9" s="2"/>
      <x:c r="F9" s="2"/>
      <x:c r="G9" s="2"/>
      <x:c r="H9" s="2"/>
    </x:row>
    <x:row r="10" ht="26" customHeight="1">
      <x:c r="A10" s="2"/>
      <x:c r="B10" s="2"/>
      <x:c r="C10" s="2"/>
      <x:c r="D10" s="2"/>
      <x:c r="E10" s="2"/>
      <x:c r="F10" s="2"/>
      <x:c r="G10" s="2"/>
      <x:c r="H10" s="2"/>
    </x:row>
    <x:row r="11" ht="40" customHeight="1">
      <x:c r="A11" s="14" t="str">
        <x:v>ID этапа</x:v>
      </x:c>
      <x:c r="B11" s="14" t="str">
        <x:v>Срок</x:v>
      </x:c>
      <x:c r="C11" s="14" t="str">
        <x:v>План, RUB</x:v>
      </x:c>
      <x:c r="D11" s="14" t="str">
        <x:v>Распределено на дату, RUB</x:v>
      </x:c>
      <x:c r="E11" s="14" t="str">
        <x:v>Остаток, RUB</x:v>
      </x:c>
      <x:c r="F11" s="14" t="str">
        <x:v>Просрочено, RUB</x:v>
      </x:c>
      <x:c r="G11" s="14" t="str">
        <x:v>Состояние</x:v>
      </x:c>
      <x:c r="H11" s="14" t="str">
        <x:v>Условие / основание</x:v>
      </x:c>
    </x:row>
    <x:row r="12" ht="45" customHeight="1">
      <x:c r="A12" s="2" t="str">
        <x:v>Э1</x:v>
      </x:c>
      <x:c r="B12" s="8" t="n">
        <x:v>46309</x:v>
      </x:c>
      <x:c r="C12" s="7" t="n">
        <x:v>36000</x:v>
      </x:c>
      <x:c r="D12" s="10" t="n">
        <x:f>IF(AND(OR(B12&lt;&gt;"",C12&lt;&gt;"",H12&lt;&gt;""),IF(ISNUMBER(C12),AND(C12&gt;0,C12=ROUND(C12,2)),FALSE),COUNTIF($A$12:$A$31,A12)=1),ROUND(SUMIFS('Журнал'!$D$10:$D$59,'Журнал'!$C$10:$C$59,A12,'Журнал'!$H$10:$H$59,"Учтено"),2),"")</x:f>
        <x:v>36000</x:v>
      </x:c>
      <x:c r="E12" s="10" t="n">
        <x:f>IF(ISNUMBER(D12),ROUND(C12-D12,2),"")</x:f>
        <x:v>0</x:v>
      </x:c>
      <x:c r="F12" s="10" t="n">
        <x:f>IF(NOT(OR(B12&lt;&gt;"",C12&lt;&gt;"",H12&lt;&gt;"")),"",IF(AND(ISNUMBER(E12),IF(ISNUMBER(B12),AND(B12&gt;=1,B12&lt;=2958465,B12=INT(B12)),FALSE),IF(ISNUMBER($F$4),AND($F$4&gt;=1,$F$4&lt;=2958465,$F$4=INT($F$4)),FALSE)),IF(B12&lt;$F$4,E12,0),0))</x:f>
        <x:v>0</x:v>
      </x:c>
      <x:c r="G12" s="9" t="str">
        <x:f>IF(NOT(OR(B12&lt;&gt;"",C12&lt;&gt;"",H12&lt;&gt;"")),"",IF(NOT(AND(IF(ISNUMBER(C12),AND(C12&gt;0,C12=ROUND(C12,2)),FALSE),A12&lt;&gt;"",COUNTIF($A$12:$A$31,A12)=1,IF(B12="",TRUE,IF(ISNUMBER(B12),AND(B12&gt;=1,B12&lt;=2958465,B12=INT(B12)),FALSE)))),"ПРОВЕРИТЬ: ввод",IF(OR(D12&lt;0,D12&gt;C12),"ПРОВЕРИТЬ: распределение",IF(E12=0,"Погашен",IF(B12="","Срок не задан",IF(B12&lt;$F$4,"Просрочен",IF(B12=$F$4,"Сегодня","Ожидается")))))))</x:f>
        <x:v>Погашен</x:v>
      </x:c>
      <x:c r="H12" s="6" t="str">
        <x:v>Аванс · учебные условия</x:v>
      </x:c>
    </x:row>
    <x:row r="13" ht="45" customHeight="1">
      <x:c r="A13" s="2" t="str">
        <x:v>Э2</x:v>
      </x:c>
      <x:c r="B13" s="8" t="n">
        <x:v>46316</x:v>
      </x:c>
      <x:c r="C13" s="7" t="n">
        <x:v>48000</x:v>
      </x:c>
      <x:c r="D13" s="10" t="n">
        <x:f>IF(AND(OR(B13&lt;&gt;"",C13&lt;&gt;"",H13&lt;&gt;""),IF(ISNUMBER(C13),AND(C13&gt;0,C13=ROUND(C13,2)),FALSE),COUNTIF($A$12:$A$31,A13)=1),ROUND(SUMIFS('Журнал'!$D$10:$D$59,'Журнал'!$C$10:$C$59,A13,'Журнал'!$H$10:$H$59,"Учтено"),2),"")</x:f>
        <x:v>12000</x:v>
      </x:c>
      <x:c r="E13" s="10" t="n">
        <x:f>IF(ISNUMBER(D13),ROUND(C13-D13,2),"")</x:f>
        <x:v>36000</x:v>
      </x:c>
      <x:c r="F13" s="10" t="n">
        <x:f>IF(NOT(OR(B13&lt;&gt;"",C13&lt;&gt;"",H13&lt;&gt;"")),"",IF(AND(ISNUMBER(E13),IF(ISNUMBER(B13),AND(B13&gt;=1,B13&lt;=2958465,B13=INT(B13)),FALSE),IF(ISNUMBER($F$4),AND($F$4&gt;=1,$F$4&lt;=2958465,$F$4=INT($F$4)),FALSE)),IF(B13&lt;$F$4,E13,0),0))</x:f>
        <x:v>36000</x:v>
      </x:c>
      <x:c r="G13" s="9" t="str">
        <x:f>IF(NOT(OR(B13&lt;&gt;"",C13&lt;&gt;"",H13&lt;&gt;"")),"",IF(NOT(AND(IF(ISNUMBER(C13),AND(C13&gt;0,C13=ROUND(C13,2)),FALSE),A13&lt;&gt;"",COUNTIF($A$12:$A$31,A13)=1,IF(B13="",TRUE,IF(ISNUMBER(B13),AND(B13&gt;=1,B13&lt;=2958465,B13=INT(B13)),FALSE)))),"ПРОВЕРИТЬ: ввод",IF(OR(D13&lt;0,D13&gt;C13),"ПРОВЕРИТЬ: распределение",IF(E13=0,"Погашен",IF(B13="","Срок не задан",IF(B13&lt;$F$4,"Просрочен",IF(B13=$F$4,"Сегодня","Ожидается")))))))</x:f>
        <x:v>Просрочен</x:v>
      </x:c>
      <x:c r="H13" s="6" t="str">
        <x:v>Промежуточный этап · учебные условия</x:v>
      </x:c>
    </x:row>
    <x:row r="14" ht="45" customHeight="1">
      <x:c r="A14" s="2" t="str">
        <x:v>Э3</x:v>
      </x:c>
      <x:c r="B14" s="8" t="n">
        <x:v>46323</x:v>
      </x:c>
      <x:c r="C14" s="7" t="n">
        <x:v>36000</x:v>
      </x:c>
      <x:c r="D14" s="10" t="n">
        <x:f>IF(AND(OR(B14&lt;&gt;"",C14&lt;&gt;"",H14&lt;&gt;""),IF(ISNUMBER(C14),AND(C14&gt;0,C14=ROUND(C14,2)),FALSE),COUNTIF($A$12:$A$31,A14)=1),ROUND(SUMIFS('Журнал'!$D$10:$D$59,'Журнал'!$C$10:$C$59,A14,'Журнал'!$H$10:$H$59,"Учтено"),2),"")</x:f>
        <x:v>0</x:v>
      </x:c>
      <x:c r="E14" s="10" t="n">
        <x:f>IF(ISNUMBER(D14),ROUND(C14-D14,2),"")</x:f>
        <x:v>36000</x:v>
      </x:c>
      <x:c r="F14" s="10" t="n">
        <x:f>IF(NOT(OR(B14&lt;&gt;"",C14&lt;&gt;"",H14&lt;&gt;"")),"",IF(AND(ISNUMBER(E14),IF(ISNUMBER(B14),AND(B14&gt;=1,B14&lt;=2958465,B14=INT(B14)),FALSE),IF(ISNUMBER($F$4),AND($F$4&gt;=1,$F$4&lt;=2958465,$F$4=INT($F$4)),FALSE)),IF(B14&lt;$F$4,E14,0),0))</x:f>
        <x:v>0</x:v>
      </x:c>
      <x:c r="G14" s="9" t="str">
        <x:f>IF(NOT(OR(B14&lt;&gt;"",C14&lt;&gt;"",H14&lt;&gt;"")),"",IF(NOT(AND(IF(ISNUMBER(C14),AND(C14&gt;0,C14=ROUND(C14,2)),FALSE),A14&lt;&gt;"",COUNTIF($A$12:$A$31,A14)=1,IF(B14="",TRUE,IF(ISNUMBER(B14),AND(B14&gt;=1,B14&lt;=2958465,B14=INT(B14)),FALSE)))),"ПРОВЕРИТЬ: ввод",IF(OR(D14&lt;0,D14&gt;C14),"ПРОВЕРИТЬ: распределение",IF(E14=0,"Погашен",IF(B14="","Срок не задан",IF(B14&lt;$F$4,"Просрочен",IF(B14=$F$4,"Сегодня","Ожидается")))))))</x:f>
        <x:v>Ожидается</x:v>
      </x:c>
      <x:c r="H14" s="6" t="str">
        <x:v>Завершение · учебные условия</x:v>
      </x:c>
    </x:row>
    <x:row r="15" ht="45" customHeight="1">
      <x:c r="A15" s="2" t="str">
        <x:v>Э4</x:v>
      </x:c>
      <x:c r="B15" s="8"/>
      <x:c r="C15" s="7"/>
      <x:c r="D15" s="10" t="str">
        <x:f>IF(AND(OR(B15&lt;&gt;"",C15&lt;&gt;"",H15&lt;&gt;""),IF(ISNUMBER(C15),AND(C15&gt;0,C15=ROUND(C15,2)),FALSE),COUNTIF($A$12:$A$31,A15)=1),ROUND(SUMIFS('Журнал'!$D$10:$D$59,'Журнал'!$C$10:$C$59,A15,'Журнал'!$H$10:$H$59,"Учтено"),2),"")</x:f>
      </x:c>
      <x:c r="E15" s="10" t="str">
        <x:f>IF(ISNUMBER(D15),ROUND(C15-D15,2),"")</x:f>
      </x:c>
      <x:c r="F15" s="10" t="str">
        <x:f>IF(NOT(OR(B15&lt;&gt;"",C15&lt;&gt;"",H15&lt;&gt;"")),"",IF(AND(ISNUMBER(E15),IF(ISNUMBER(B15),AND(B15&gt;=1,B15&lt;=2958465,B15=INT(B15)),FALSE),IF(ISNUMBER($F$4),AND($F$4&gt;=1,$F$4&lt;=2958465,$F$4=INT($F$4)),FALSE)),IF(B15&lt;$F$4,E15,0),0))</x:f>
      </x:c>
      <x:c r="G15" s="9" t="str">
        <x:f>IF(NOT(OR(B15&lt;&gt;"",C15&lt;&gt;"",H15&lt;&gt;"")),"",IF(NOT(AND(IF(ISNUMBER(C15),AND(C15&gt;0,C15=ROUND(C15,2)),FALSE),A15&lt;&gt;"",COUNTIF($A$12:$A$31,A15)=1,IF(B15="",TRUE,IF(ISNUMBER(B15),AND(B15&gt;=1,B15&lt;=2958465,B15=INT(B15)),FALSE)))),"ПРОВЕРИТЬ: ввод",IF(OR(D15&lt;0,D15&gt;C15),"ПРОВЕРИТЬ: распределение",IF(E15=0,"Погашен",IF(B15="","Срок не задан",IF(B15&lt;$F$4,"Просрочен",IF(B15=$F$4,"Сегодня","Ожидается")))))))</x:f>
      </x:c>
      <x:c r="H15" s="6"/>
    </x:row>
    <x:row r="16" ht="45" customHeight="1">
      <x:c r="A16" s="2" t="str">
        <x:v>Э5</x:v>
      </x:c>
      <x:c r="B16" s="8"/>
      <x:c r="C16" s="7"/>
      <x:c r="D16" s="10" t="str">
        <x:f>IF(AND(OR(B16&lt;&gt;"",C16&lt;&gt;"",H16&lt;&gt;""),IF(ISNUMBER(C16),AND(C16&gt;0,C16=ROUND(C16,2)),FALSE),COUNTIF($A$12:$A$31,A16)=1),ROUND(SUMIFS('Журнал'!$D$10:$D$59,'Журнал'!$C$10:$C$59,A16,'Журнал'!$H$10:$H$59,"Учтено"),2),"")</x:f>
      </x:c>
      <x:c r="E16" s="10" t="str">
        <x:f>IF(ISNUMBER(D16),ROUND(C16-D16,2),"")</x:f>
      </x:c>
      <x:c r="F16" s="10" t="str">
        <x:f>IF(NOT(OR(B16&lt;&gt;"",C16&lt;&gt;"",H16&lt;&gt;"")),"",IF(AND(ISNUMBER(E16),IF(ISNUMBER(B16),AND(B16&gt;=1,B16&lt;=2958465,B16=INT(B16)),FALSE),IF(ISNUMBER($F$4),AND($F$4&gt;=1,$F$4&lt;=2958465,$F$4=INT($F$4)),FALSE)),IF(B16&lt;$F$4,E16,0),0))</x:f>
      </x:c>
      <x:c r="G16" s="9" t="str">
        <x:f>IF(NOT(OR(B16&lt;&gt;"",C16&lt;&gt;"",H16&lt;&gt;"")),"",IF(NOT(AND(IF(ISNUMBER(C16),AND(C16&gt;0,C16=ROUND(C16,2)),FALSE),A16&lt;&gt;"",COUNTIF($A$12:$A$31,A16)=1,IF(B16="",TRUE,IF(ISNUMBER(B16),AND(B16&gt;=1,B16&lt;=2958465,B16=INT(B16)),FALSE)))),"ПРОВЕРИТЬ: ввод",IF(OR(D16&lt;0,D16&gt;C16),"ПРОВЕРИТЬ: распределение",IF(E16=0,"Погашен",IF(B16="","Срок не задан",IF(B16&lt;$F$4,"Просрочен",IF(B16=$F$4,"Сегодня","Ожидается")))))))</x:f>
      </x:c>
      <x:c r="H16" s="6"/>
    </x:row>
    <x:row r="17" ht="45" customHeight="1">
      <x:c r="A17" s="2" t="str">
        <x:v>Э6</x:v>
      </x:c>
      <x:c r="B17" s="8"/>
      <x:c r="C17" s="7"/>
      <x:c r="D17" s="10" t="str">
        <x:f>IF(AND(OR(B17&lt;&gt;"",C17&lt;&gt;"",H17&lt;&gt;""),IF(ISNUMBER(C17),AND(C17&gt;0,C17=ROUND(C17,2)),FALSE),COUNTIF($A$12:$A$31,A17)=1),ROUND(SUMIFS('Журнал'!$D$10:$D$59,'Журнал'!$C$10:$C$59,A17,'Журнал'!$H$10:$H$59,"Учтено"),2),"")</x:f>
      </x:c>
      <x:c r="E17" s="10" t="str">
        <x:f>IF(ISNUMBER(D17),ROUND(C17-D17,2),"")</x:f>
      </x:c>
      <x:c r="F17" s="10" t="str">
        <x:f>IF(NOT(OR(B17&lt;&gt;"",C17&lt;&gt;"",H17&lt;&gt;"")),"",IF(AND(ISNUMBER(E17),IF(ISNUMBER(B17),AND(B17&gt;=1,B17&lt;=2958465,B17=INT(B17)),FALSE),IF(ISNUMBER($F$4),AND($F$4&gt;=1,$F$4&lt;=2958465,$F$4=INT($F$4)),FALSE)),IF(B17&lt;$F$4,E17,0),0))</x:f>
      </x:c>
      <x:c r="G17" s="9" t="str">
        <x:f>IF(NOT(OR(B17&lt;&gt;"",C17&lt;&gt;"",H17&lt;&gt;"")),"",IF(NOT(AND(IF(ISNUMBER(C17),AND(C17&gt;0,C17=ROUND(C17,2)),FALSE),A17&lt;&gt;"",COUNTIF($A$12:$A$31,A17)=1,IF(B17="",TRUE,IF(ISNUMBER(B17),AND(B17&gt;=1,B17&lt;=2958465,B17=INT(B17)),FALSE)))),"ПРОВЕРИТЬ: ввод",IF(OR(D17&lt;0,D17&gt;C17),"ПРОВЕРИТЬ: распределение",IF(E17=0,"Погашен",IF(B17="","Срок не задан",IF(B17&lt;$F$4,"Просрочен",IF(B17=$F$4,"Сегодня","Ожидается")))))))</x:f>
      </x:c>
      <x:c r="H17" s="6"/>
    </x:row>
    <x:row r="18" ht="45" customHeight="1">
      <x:c r="A18" s="2" t="str">
        <x:v>Э7</x:v>
      </x:c>
      <x:c r="B18" s="8"/>
      <x:c r="C18" s="7"/>
      <x:c r="D18" s="10" t="str">
        <x:f>IF(AND(OR(B18&lt;&gt;"",C18&lt;&gt;"",H18&lt;&gt;""),IF(ISNUMBER(C18),AND(C18&gt;0,C18=ROUND(C18,2)),FALSE),COUNTIF($A$12:$A$31,A18)=1),ROUND(SUMIFS('Журнал'!$D$10:$D$59,'Журнал'!$C$10:$C$59,A18,'Журнал'!$H$10:$H$59,"Учтено"),2),"")</x:f>
      </x:c>
      <x:c r="E18" s="10" t="str">
        <x:f>IF(ISNUMBER(D18),ROUND(C18-D18,2),"")</x:f>
      </x:c>
      <x:c r="F18" s="10" t="str">
        <x:f>IF(NOT(OR(B18&lt;&gt;"",C18&lt;&gt;"",H18&lt;&gt;"")),"",IF(AND(ISNUMBER(E18),IF(ISNUMBER(B18),AND(B18&gt;=1,B18&lt;=2958465,B18=INT(B18)),FALSE),IF(ISNUMBER($F$4),AND($F$4&gt;=1,$F$4&lt;=2958465,$F$4=INT($F$4)),FALSE)),IF(B18&lt;$F$4,E18,0),0))</x:f>
      </x:c>
      <x:c r="G18" s="9" t="str">
        <x:f>IF(NOT(OR(B18&lt;&gt;"",C18&lt;&gt;"",H18&lt;&gt;"")),"",IF(NOT(AND(IF(ISNUMBER(C18),AND(C18&gt;0,C18=ROUND(C18,2)),FALSE),A18&lt;&gt;"",COUNTIF($A$12:$A$31,A18)=1,IF(B18="",TRUE,IF(ISNUMBER(B18),AND(B18&gt;=1,B18&lt;=2958465,B18=INT(B18)),FALSE)))),"ПРОВЕРИТЬ: ввод",IF(OR(D18&lt;0,D18&gt;C18),"ПРОВЕРИТЬ: распределение",IF(E18=0,"Погашен",IF(B18="","Срок не задан",IF(B18&lt;$F$4,"Просрочен",IF(B18=$F$4,"Сегодня","Ожидается")))))))</x:f>
      </x:c>
      <x:c r="H18" s="6"/>
    </x:row>
    <x:row r="19" ht="45" customHeight="1">
      <x:c r="A19" s="2" t="str">
        <x:v>Э8</x:v>
      </x:c>
      <x:c r="B19" s="8"/>
      <x:c r="C19" s="7"/>
      <x:c r="D19" s="10" t="str">
        <x:f>IF(AND(OR(B19&lt;&gt;"",C19&lt;&gt;"",H19&lt;&gt;""),IF(ISNUMBER(C19),AND(C19&gt;0,C19=ROUND(C19,2)),FALSE),COUNTIF($A$12:$A$31,A19)=1),ROUND(SUMIFS('Журнал'!$D$10:$D$59,'Журнал'!$C$10:$C$59,A19,'Журнал'!$H$10:$H$59,"Учтено"),2),"")</x:f>
      </x:c>
      <x:c r="E19" s="10" t="str">
        <x:f>IF(ISNUMBER(D19),ROUND(C19-D19,2),"")</x:f>
      </x:c>
      <x:c r="F19" s="10" t="str">
        <x:f>IF(NOT(OR(B19&lt;&gt;"",C19&lt;&gt;"",H19&lt;&gt;"")),"",IF(AND(ISNUMBER(E19),IF(ISNUMBER(B19),AND(B19&gt;=1,B19&lt;=2958465,B19=INT(B19)),FALSE),IF(ISNUMBER($F$4),AND($F$4&gt;=1,$F$4&lt;=2958465,$F$4=INT($F$4)),FALSE)),IF(B19&lt;$F$4,E19,0),0))</x:f>
      </x:c>
      <x:c r="G19" s="9" t="str">
        <x:f>IF(NOT(OR(B19&lt;&gt;"",C19&lt;&gt;"",H19&lt;&gt;"")),"",IF(NOT(AND(IF(ISNUMBER(C19),AND(C19&gt;0,C19=ROUND(C19,2)),FALSE),A19&lt;&gt;"",COUNTIF($A$12:$A$31,A19)=1,IF(B19="",TRUE,IF(ISNUMBER(B19),AND(B19&gt;=1,B19&lt;=2958465,B19=INT(B19)),FALSE)))),"ПРОВЕРИТЬ: ввод",IF(OR(D19&lt;0,D19&gt;C19),"ПРОВЕРИТЬ: распределение",IF(E19=0,"Погашен",IF(B19="","Срок не задан",IF(B19&lt;$F$4,"Просрочен",IF(B19=$F$4,"Сегодня","Ожидается")))))))</x:f>
      </x:c>
      <x:c r="H19" s="6"/>
    </x:row>
    <x:row r="20" ht="45" customHeight="1">
      <x:c r="A20" s="2" t="str">
        <x:v>Э9</x:v>
      </x:c>
      <x:c r="B20" s="8"/>
      <x:c r="C20" s="7"/>
      <x:c r="D20" s="10" t="str">
        <x:f>IF(AND(OR(B20&lt;&gt;"",C20&lt;&gt;"",H20&lt;&gt;""),IF(ISNUMBER(C20),AND(C20&gt;0,C20=ROUND(C20,2)),FALSE),COUNTIF($A$12:$A$31,A20)=1),ROUND(SUMIFS('Журнал'!$D$10:$D$59,'Журнал'!$C$10:$C$59,A20,'Журнал'!$H$10:$H$59,"Учтено"),2),"")</x:f>
      </x:c>
      <x:c r="E20" s="10" t="str">
        <x:f>IF(ISNUMBER(D20),ROUND(C20-D20,2),"")</x:f>
      </x:c>
      <x:c r="F20" s="10" t="str">
        <x:f>IF(NOT(OR(B20&lt;&gt;"",C20&lt;&gt;"",H20&lt;&gt;"")),"",IF(AND(ISNUMBER(E20),IF(ISNUMBER(B20),AND(B20&gt;=1,B20&lt;=2958465,B20=INT(B20)),FALSE),IF(ISNUMBER($F$4),AND($F$4&gt;=1,$F$4&lt;=2958465,$F$4=INT($F$4)),FALSE)),IF(B20&lt;$F$4,E20,0),0))</x:f>
      </x:c>
      <x:c r="G20" s="9" t="str">
        <x:f>IF(NOT(OR(B20&lt;&gt;"",C20&lt;&gt;"",H20&lt;&gt;"")),"",IF(NOT(AND(IF(ISNUMBER(C20),AND(C20&gt;0,C20=ROUND(C20,2)),FALSE),A20&lt;&gt;"",COUNTIF($A$12:$A$31,A20)=1,IF(B20="",TRUE,IF(ISNUMBER(B20),AND(B20&gt;=1,B20&lt;=2958465,B20=INT(B20)),FALSE)))),"ПРОВЕРИТЬ: ввод",IF(OR(D20&lt;0,D20&gt;C20),"ПРОВЕРИТЬ: распределение",IF(E20=0,"Погашен",IF(B20="","Срок не задан",IF(B20&lt;$F$4,"Просрочен",IF(B20=$F$4,"Сегодня","Ожидается")))))))</x:f>
      </x:c>
      <x:c r="H20" s="6"/>
    </x:row>
    <x:row r="21" ht="45" customHeight="1">
      <x:c r="A21" s="2" t="str">
        <x:v>Э10</x:v>
      </x:c>
      <x:c r="B21" s="8"/>
      <x:c r="C21" s="7"/>
      <x:c r="D21" s="10" t="str">
        <x:f>IF(AND(OR(B21&lt;&gt;"",C21&lt;&gt;"",H21&lt;&gt;""),IF(ISNUMBER(C21),AND(C21&gt;0,C21=ROUND(C21,2)),FALSE),COUNTIF($A$12:$A$31,A21)=1),ROUND(SUMIFS('Журнал'!$D$10:$D$59,'Журнал'!$C$10:$C$59,A21,'Журнал'!$H$10:$H$59,"Учтено"),2),"")</x:f>
      </x:c>
      <x:c r="E21" s="10" t="str">
        <x:f>IF(ISNUMBER(D21),ROUND(C21-D21,2),"")</x:f>
      </x:c>
      <x:c r="F21" s="10" t="str">
        <x:f>IF(NOT(OR(B21&lt;&gt;"",C21&lt;&gt;"",H21&lt;&gt;"")),"",IF(AND(ISNUMBER(E21),IF(ISNUMBER(B21),AND(B21&gt;=1,B21&lt;=2958465,B21=INT(B21)),FALSE),IF(ISNUMBER($F$4),AND($F$4&gt;=1,$F$4&lt;=2958465,$F$4=INT($F$4)),FALSE)),IF(B21&lt;$F$4,E21,0),0))</x:f>
      </x:c>
      <x:c r="G21" s="9" t="str">
        <x:f>IF(NOT(OR(B21&lt;&gt;"",C21&lt;&gt;"",H21&lt;&gt;"")),"",IF(NOT(AND(IF(ISNUMBER(C21),AND(C21&gt;0,C21=ROUND(C21,2)),FALSE),A21&lt;&gt;"",COUNTIF($A$12:$A$31,A21)=1,IF(B21="",TRUE,IF(ISNUMBER(B21),AND(B21&gt;=1,B21&lt;=2958465,B21=INT(B21)),FALSE)))),"ПРОВЕРИТЬ: ввод",IF(OR(D21&lt;0,D21&gt;C21),"ПРОВЕРИТЬ: распределение",IF(E21=0,"Погашен",IF(B21="","Срок не задан",IF(B21&lt;$F$4,"Просрочен",IF(B21=$F$4,"Сегодня","Ожидается")))))))</x:f>
      </x:c>
      <x:c r="H21" s="6"/>
    </x:row>
    <x:row r="22" ht="45" customHeight="1">
      <x:c r="A22" s="2" t="str">
        <x:v>Э11</x:v>
      </x:c>
      <x:c r="B22" s="8"/>
      <x:c r="C22" s="7"/>
      <x:c r="D22" s="10" t="str">
        <x:f>IF(AND(OR(B22&lt;&gt;"",C22&lt;&gt;"",H22&lt;&gt;""),IF(ISNUMBER(C22),AND(C22&gt;0,C22=ROUND(C22,2)),FALSE),COUNTIF($A$12:$A$31,A22)=1),ROUND(SUMIFS('Журнал'!$D$10:$D$59,'Журнал'!$C$10:$C$59,A22,'Журнал'!$H$10:$H$59,"Учтено"),2),"")</x:f>
      </x:c>
      <x:c r="E22" s="10" t="str">
        <x:f>IF(ISNUMBER(D22),ROUND(C22-D22,2),"")</x:f>
      </x:c>
      <x:c r="F22" s="10" t="str">
        <x:f>IF(NOT(OR(B22&lt;&gt;"",C22&lt;&gt;"",H22&lt;&gt;"")),"",IF(AND(ISNUMBER(E22),IF(ISNUMBER(B22),AND(B22&gt;=1,B22&lt;=2958465,B22=INT(B22)),FALSE),IF(ISNUMBER($F$4),AND($F$4&gt;=1,$F$4&lt;=2958465,$F$4=INT($F$4)),FALSE)),IF(B22&lt;$F$4,E22,0),0))</x:f>
      </x:c>
      <x:c r="G22" s="9" t="str">
        <x:f>IF(NOT(OR(B22&lt;&gt;"",C22&lt;&gt;"",H22&lt;&gt;"")),"",IF(NOT(AND(IF(ISNUMBER(C22),AND(C22&gt;0,C22=ROUND(C22,2)),FALSE),A22&lt;&gt;"",COUNTIF($A$12:$A$31,A22)=1,IF(B22="",TRUE,IF(ISNUMBER(B22),AND(B22&gt;=1,B22&lt;=2958465,B22=INT(B22)),FALSE)))),"ПРОВЕРИТЬ: ввод",IF(OR(D22&lt;0,D22&gt;C22),"ПРОВЕРИТЬ: распределение",IF(E22=0,"Погашен",IF(B22="","Срок не задан",IF(B22&lt;$F$4,"Просрочен",IF(B22=$F$4,"Сегодня","Ожидается")))))))</x:f>
      </x:c>
      <x:c r="H22" s="6"/>
    </x:row>
    <x:row r="23" ht="45" customHeight="1">
      <x:c r="A23" s="2" t="str">
        <x:v>Э12</x:v>
      </x:c>
      <x:c r="B23" s="8"/>
      <x:c r="C23" s="7"/>
      <x:c r="D23" s="10" t="str">
        <x:f>IF(AND(OR(B23&lt;&gt;"",C23&lt;&gt;"",H23&lt;&gt;""),IF(ISNUMBER(C23),AND(C23&gt;0,C23=ROUND(C23,2)),FALSE),COUNTIF($A$12:$A$31,A23)=1),ROUND(SUMIFS('Журнал'!$D$10:$D$59,'Журнал'!$C$10:$C$59,A23,'Журнал'!$H$10:$H$59,"Учтено"),2),"")</x:f>
      </x:c>
      <x:c r="E23" s="10" t="str">
        <x:f>IF(ISNUMBER(D23),ROUND(C23-D23,2),"")</x:f>
      </x:c>
      <x:c r="F23" s="10" t="str">
        <x:f>IF(NOT(OR(B23&lt;&gt;"",C23&lt;&gt;"",H23&lt;&gt;"")),"",IF(AND(ISNUMBER(E23),IF(ISNUMBER(B23),AND(B23&gt;=1,B23&lt;=2958465,B23=INT(B23)),FALSE),IF(ISNUMBER($F$4),AND($F$4&gt;=1,$F$4&lt;=2958465,$F$4=INT($F$4)),FALSE)),IF(B23&lt;$F$4,E23,0),0))</x:f>
      </x:c>
      <x:c r="G23" s="9" t="str">
        <x:f>IF(NOT(OR(B23&lt;&gt;"",C23&lt;&gt;"",H23&lt;&gt;"")),"",IF(NOT(AND(IF(ISNUMBER(C23),AND(C23&gt;0,C23=ROUND(C23,2)),FALSE),A23&lt;&gt;"",COUNTIF($A$12:$A$31,A23)=1,IF(B23="",TRUE,IF(ISNUMBER(B23),AND(B23&gt;=1,B23&lt;=2958465,B23=INT(B23)),FALSE)))),"ПРОВЕРИТЬ: ввод",IF(OR(D23&lt;0,D23&gt;C23),"ПРОВЕРИТЬ: распределение",IF(E23=0,"Погашен",IF(B23="","Срок не задан",IF(B23&lt;$F$4,"Просрочен",IF(B23=$F$4,"Сегодня","Ожидается")))))))</x:f>
      </x:c>
      <x:c r="H23" s="6"/>
    </x:row>
    <x:row r="24" ht="45" customHeight="1">
      <x:c r="A24" s="2" t="str">
        <x:v>Э13</x:v>
      </x:c>
      <x:c r="B24" s="8"/>
      <x:c r="C24" s="7"/>
      <x:c r="D24" s="10" t="str">
        <x:f>IF(AND(OR(B24&lt;&gt;"",C24&lt;&gt;"",H24&lt;&gt;""),IF(ISNUMBER(C24),AND(C24&gt;0,C24=ROUND(C24,2)),FALSE),COUNTIF($A$12:$A$31,A24)=1),ROUND(SUMIFS('Журнал'!$D$10:$D$59,'Журнал'!$C$10:$C$59,A24,'Журнал'!$H$10:$H$59,"Учтено"),2),"")</x:f>
      </x:c>
      <x:c r="E24" s="10" t="str">
        <x:f>IF(ISNUMBER(D24),ROUND(C24-D24,2),"")</x:f>
      </x:c>
      <x:c r="F24" s="10" t="str">
        <x:f>IF(NOT(OR(B24&lt;&gt;"",C24&lt;&gt;"",H24&lt;&gt;"")),"",IF(AND(ISNUMBER(E24),IF(ISNUMBER(B24),AND(B24&gt;=1,B24&lt;=2958465,B24=INT(B24)),FALSE),IF(ISNUMBER($F$4),AND($F$4&gt;=1,$F$4&lt;=2958465,$F$4=INT($F$4)),FALSE)),IF(B24&lt;$F$4,E24,0),0))</x:f>
      </x:c>
      <x:c r="G24" s="9" t="str">
        <x:f>IF(NOT(OR(B24&lt;&gt;"",C24&lt;&gt;"",H24&lt;&gt;"")),"",IF(NOT(AND(IF(ISNUMBER(C24),AND(C24&gt;0,C24=ROUND(C24,2)),FALSE),A24&lt;&gt;"",COUNTIF($A$12:$A$31,A24)=1,IF(B24="",TRUE,IF(ISNUMBER(B24),AND(B24&gt;=1,B24&lt;=2958465,B24=INT(B24)),FALSE)))),"ПРОВЕРИТЬ: ввод",IF(OR(D24&lt;0,D24&gt;C24),"ПРОВЕРИТЬ: распределение",IF(E24=0,"Погашен",IF(B24="","Срок не задан",IF(B24&lt;$F$4,"Просрочен",IF(B24=$F$4,"Сегодня","Ожидается")))))))</x:f>
      </x:c>
      <x:c r="H24" s="6"/>
    </x:row>
    <x:row r="25" ht="45" customHeight="1">
      <x:c r="A25" s="2" t="str">
        <x:v>Э14</x:v>
      </x:c>
      <x:c r="B25" s="8"/>
      <x:c r="C25" s="7"/>
      <x:c r="D25" s="10" t="str">
        <x:f>IF(AND(OR(B25&lt;&gt;"",C25&lt;&gt;"",H25&lt;&gt;""),IF(ISNUMBER(C25),AND(C25&gt;0,C25=ROUND(C25,2)),FALSE),COUNTIF($A$12:$A$31,A25)=1),ROUND(SUMIFS('Журнал'!$D$10:$D$59,'Журнал'!$C$10:$C$59,A25,'Журнал'!$H$10:$H$59,"Учтено"),2),"")</x:f>
      </x:c>
      <x:c r="E25" s="10" t="str">
        <x:f>IF(ISNUMBER(D25),ROUND(C25-D25,2),"")</x:f>
      </x:c>
      <x:c r="F25" s="10" t="str">
        <x:f>IF(NOT(OR(B25&lt;&gt;"",C25&lt;&gt;"",H25&lt;&gt;"")),"",IF(AND(ISNUMBER(E25),IF(ISNUMBER(B25),AND(B25&gt;=1,B25&lt;=2958465,B25=INT(B25)),FALSE),IF(ISNUMBER($F$4),AND($F$4&gt;=1,$F$4&lt;=2958465,$F$4=INT($F$4)),FALSE)),IF(B25&lt;$F$4,E25,0),0))</x:f>
      </x:c>
      <x:c r="G25" s="9" t="str">
        <x:f>IF(NOT(OR(B25&lt;&gt;"",C25&lt;&gt;"",H25&lt;&gt;"")),"",IF(NOT(AND(IF(ISNUMBER(C25),AND(C25&gt;0,C25=ROUND(C25,2)),FALSE),A25&lt;&gt;"",COUNTIF($A$12:$A$31,A25)=1,IF(B25="",TRUE,IF(ISNUMBER(B25),AND(B25&gt;=1,B25&lt;=2958465,B25=INT(B25)),FALSE)))),"ПРОВЕРИТЬ: ввод",IF(OR(D25&lt;0,D25&gt;C25),"ПРОВЕРИТЬ: распределение",IF(E25=0,"Погашен",IF(B25="","Срок не задан",IF(B25&lt;$F$4,"Просрочен",IF(B25=$F$4,"Сегодня","Ожидается")))))))</x:f>
      </x:c>
      <x:c r="H25" s="6"/>
    </x:row>
    <x:row r="26" ht="45" customHeight="1">
      <x:c r="A26" s="2" t="str">
        <x:v>Э15</x:v>
      </x:c>
      <x:c r="B26" s="8"/>
      <x:c r="C26" s="7"/>
      <x:c r="D26" s="10" t="str">
        <x:f>IF(AND(OR(B26&lt;&gt;"",C26&lt;&gt;"",H26&lt;&gt;""),IF(ISNUMBER(C26),AND(C26&gt;0,C26=ROUND(C26,2)),FALSE),COUNTIF($A$12:$A$31,A26)=1),ROUND(SUMIFS('Журнал'!$D$10:$D$59,'Журнал'!$C$10:$C$59,A26,'Журнал'!$H$10:$H$59,"Учтено"),2),"")</x:f>
      </x:c>
      <x:c r="E26" s="10" t="str">
        <x:f>IF(ISNUMBER(D26),ROUND(C26-D26,2),"")</x:f>
      </x:c>
      <x:c r="F26" s="10" t="str">
        <x:f>IF(NOT(OR(B26&lt;&gt;"",C26&lt;&gt;"",H26&lt;&gt;"")),"",IF(AND(ISNUMBER(E26),IF(ISNUMBER(B26),AND(B26&gt;=1,B26&lt;=2958465,B26=INT(B26)),FALSE),IF(ISNUMBER($F$4),AND($F$4&gt;=1,$F$4&lt;=2958465,$F$4=INT($F$4)),FALSE)),IF(B26&lt;$F$4,E26,0),0))</x:f>
      </x:c>
      <x:c r="G26" s="9" t="str">
        <x:f>IF(NOT(OR(B26&lt;&gt;"",C26&lt;&gt;"",H26&lt;&gt;"")),"",IF(NOT(AND(IF(ISNUMBER(C26),AND(C26&gt;0,C26=ROUND(C26,2)),FALSE),A26&lt;&gt;"",COUNTIF($A$12:$A$31,A26)=1,IF(B26="",TRUE,IF(ISNUMBER(B26),AND(B26&gt;=1,B26&lt;=2958465,B26=INT(B26)),FALSE)))),"ПРОВЕРИТЬ: ввод",IF(OR(D26&lt;0,D26&gt;C26),"ПРОВЕРИТЬ: распределение",IF(E26=0,"Погашен",IF(B26="","Срок не задан",IF(B26&lt;$F$4,"Просрочен",IF(B26=$F$4,"Сегодня","Ожидается")))))))</x:f>
      </x:c>
      <x:c r="H26" s="6"/>
    </x:row>
    <x:row r="27" ht="45" customHeight="1">
      <x:c r="A27" s="2" t="str">
        <x:v>Э16</x:v>
      </x:c>
      <x:c r="B27" s="8"/>
      <x:c r="C27" s="7"/>
      <x:c r="D27" s="10" t="str">
        <x:f>IF(AND(OR(B27&lt;&gt;"",C27&lt;&gt;"",H27&lt;&gt;""),IF(ISNUMBER(C27),AND(C27&gt;0,C27=ROUND(C27,2)),FALSE),COUNTIF($A$12:$A$31,A27)=1),ROUND(SUMIFS('Журнал'!$D$10:$D$59,'Журнал'!$C$10:$C$59,A27,'Журнал'!$H$10:$H$59,"Учтено"),2),"")</x:f>
      </x:c>
      <x:c r="E27" s="10" t="str">
        <x:f>IF(ISNUMBER(D27),ROUND(C27-D27,2),"")</x:f>
      </x:c>
      <x:c r="F27" s="10" t="str">
        <x:f>IF(NOT(OR(B27&lt;&gt;"",C27&lt;&gt;"",H27&lt;&gt;"")),"",IF(AND(ISNUMBER(E27),IF(ISNUMBER(B27),AND(B27&gt;=1,B27&lt;=2958465,B27=INT(B27)),FALSE),IF(ISNUMBER($F$4),AND($F$4&gt;=1,$F$4&lt;=2958465,$F$4=INT($F$4)),FALSE)),IF(B27&lt;$F$4,E27,0),0))</x:f>
      </x:c>
      <x:c r="G27" s="9" t="str">
        <x:f>IF(NOT(OR(B27&lt;&gt;"",C27&lt;&gt;"",H27&lt;&gt;"")),"",IF(NOT(AND(IF(ISNUMBER(C27),AND(C27&gt;0,C27=ROUND(C27,2)),FALSE),A27&lt;&gt;"",COUNTIF($A$12:$A$31,A27)=1,IF(B27="",TRUE,IF(ISNUMBER(B27),AND(B27&gt;=1,B27&lt;=2958465,B27=INT(B27)),FALSE)))),"ПРОВЕРИТЬ: ввод",IF(OR(D27&lt;0,D27&gt;C27),"ПРОВЕРИТЬ: распределение",IF(E27=0,"Погашен",IF(B27="","Срок не задан",IF(B27&lt;$F$4,"Просрочен",IF(B27=$F$4,"Сегодня","Ожидается")))))))</x:f>
      </x:c>
      <x:c r="H27" s="6"/>
    </x:row>
    <x:row r="28" ht="45" customHeight="1">
      <x:c r="A28" s="2" t="str">
        <x:v>Э17</x:v>
      </x:c>
      <x:c r="B28" s="8"/>
      <x:c r="C28" s="7"/>
      <x:c r="D28" s="10" t="str">
        <x:f>IF(AND(OR(B28&lt;&gt;"",C28&lt;&gt;"",H28&lt;&gt;""),IF(ISNUMBER(C28),AND(C28&gt;0,C28=ROUND(C28,2)),FALSE),COUNTIF($A$12:$A$31,A28)=1),ROUND(SUMIFS('Журнал'!$D$10:$D$59,'Журнал'!$C$10:$C$59,A28,'Журнал'!$H$10:$H$59,"Учтено"),2),"")</x:f>
      </x:c>
      <x:c r="E28" s="10" t="str">
        <x:f>IF(ISNUMBER(D28),ROUND(C28-D28,2),"")</x:f>
      </x:c>
      <x:c r="F28" s="10" t="str">
        <x:f>IF(NOT(OR(B28&lt;&gt;"",C28&lt;&gt;"",H28&lt;&gt;"")),"",IF(AND(ISNUMBER(E28),IF(ISNUMBER(B28),AND(B28&gt;=1,B28&lt;=2958465,B28=INT(B28)),FALSE),IF(ISNUMBER($F$4),AND($F$4&gt;=1,$F$4&lt;=2958465,$F$4=INT($F$4)),FALSE)),IF(B28&lt;$F$4,E28,0),0))</x:f>
      </x:c>
      <x:c r="G28" s="9" t="str">
        <x:f>IF(NOT(OR(B28&lt;&gt;"",C28&lt;&gt;"",H28&lt;&gt;"")),"",IF(NOT(AND(IF(ISNUMBER(C28),AND(C28&gt;0,C28=ROUND(C28,2)),FALSE),A28&lt;&gt;"",COUNTIF($A$12:$A$31,A28)=1,IF(B28="",TRUE,IF(ISNUMBER(B28),AND(B28&gt;=1,B28&lt;=2958465,B28=INT(B28)),FALSE)))),"ПРОВЕРИТЬ: ввод",IF(OR(D28&lt;0,D28&gt;C28),"ПРОВЕРИТЬ: распределение",IF(E28=0,"Погашен",IF(B28="","Срок не задан",IF(B28&lt;$F$4,"Просрочен",IF(B28=$F$4,"Сегодня","Ожидается")))))))</x:f>
      </x:c>
      <x:c r="H28" s="6"/>
    </x:row>
    <x:row r="29" ht="45" customHeight="1">
      <x:c r="A29" s="2" t="str">
        <x:v>Э18</x:v>
      </x:c>
      <x:c r="B29" s="8"/>
      <x:c r="C29" s="7"/>
      <x:c r="D29" s="10" t="str">
        <x:f>IF(AND(OR(B29&lt;&gt;"",C29&lt;&gt;"",H29&lt;&gt;""),IF(ISNUMBER(C29),AND(C29&gt;0,C29=ROUND(C29,2)),FALSE),COUNTIF($A$12:$A$31,A29)=1),ROUND(SUMIFS('Журнал'!$D$10:$D$59,'Журнал'!$C$10:$C$59,A29,'Журнал'!$H$10:$H$59,"Учтено"),2),"")</x:f>
      </x:c>
      <x:c r="E29" s="10" t="str">
        <x:f>IF(ISNUMBER(D29),ROUND(C29-D29,2),"")</x:f>
      </x:c>
      <x:c r="F29" s="10" t="str">
        <x:f>IF(NOT(OR(B29&lt;&gt;"",C29&lt;&gt;"",H29&lt;&gt;"")),"",IF(AND(ISNUMBER(E29),IF(ISNUMBER(B29),AND(B29&gt;=1,B29&lt;=2958465,B29=INT(B29)),FALSE),IF(ISNUMBER($F$4),AND($F$4&gt;=1,$F$4&lt;=2958465,$F$4=INT($F$4)),FALSE)),IF(B29&lt;$F$4,E29,0),0))</x:f>
      </x:c>
      <x:c r="G29" s="9" t="str">
        <x:f>IF(NOT(OR(B29&lt;&gt;"",C29&lt;&gt;"",H29&lt;&gt;"")),"",IF(NOT(AND(IF(ISNUMBER(C29),AND(C29&gt;0,C29=ROUND(C29,2)),FALSE),A29&lt;&gt;"",COUNTIF($A$12:$A$31,A29)=1,IF(B29="",TRUE,IF(ISNUMBER(B29),AND(B29&gt;=1,B29&lt;=2958465,B29=INT(B29)),FALSE)))),"ПРОВЕРИТЬ: ввод",IF(OR(D29&lt;0,D29&gt;C29),"ПРОВЕРИТЬ: распределение",IF(E29=0,"Погашен",IF(B29="","Срок не задан",IF(B29&lt;$F$4,"Просрочен",IF(B29=$F$4,"Сегодня","Ожидается")))))))</x:f>
      </x:c>
      <x:c r="H29" s="6"/>
    </x:row>
    <x:row r="30" ht="45" customHeight="1">
      <x:c r="A30" s="2" t="str">
        <x:v>Э19</x:v>
      </x:c>
      <x:c r="B30" s="8"/>
      <x:c r="C30" s="7"/>
      <x:c r="D30" s="10" t="str">
        <x:f>IF(AND(OR(B30&lt;&gt;"",C30&lt;&gt;"",H30&lt;&gt;""),IF(ISNUMBER(C30),AND(C30&gt;0,C30=ROUND(C30,2)),FALSE),COUNTIF($A$12:$A$31,A30)=1),ROUND(SUMIFS('Журнал'!$D$10:$D$59,'Журнал'!$C$10:$C$59,A30,'Журнал'!$H$10:$H$59,"Учтено"),2),"")</x:f>
      </x:c>
      <x:c r="E30" s="10" t="str">
        <x:f>IF(ISNUMBER(D30),ROUND(C30-D30,2),"")</x:f>
      </x:c>
      <x:c r="F30" s="10" t="str">
        <x:f>IF(NOT(OR(B30&lt;&gt;"",C30&lt;&gt;"",H30&lt;&gt;"")),"",IF(AND(ISNUMBER(E30),IF(ISNUMBER(B30),AND(B30&gt;=1,B30&lt;=2958465,B30=INT(B30)),FALSE),IF(ISNUMBER($F$4),AND($F$4&gt;=1,$F$4&lt;=2958465,$F$4=INT($F$4)),FALSE)),IF(B30&lt;$F$4,E30,0),0))</x:f>
      </x:c>
      <x:c r="G30" s="9" t="str">
        <x:f>IF(NOT(OR(B30&lt;&gt;"",C30&lt;&gt;"",H30&lt;&gt;"")),"",IF(NOT(AND(IF(ISNUMBER(C30),AND(C30&gt;0,C30=ROUND(C30,2)),FALSE),A30&lt;&gt;"",COUNTIF($A$12:$A$31,A30)=1,IF(B30="",TRUE,IF(ISNUMBER(B30),AND(B30&gt;=1,B30&lt;=2958465,B30=INT(B30)),FALSE)))),"ПРОВЕРИТЬ: ввод",IF(OR(D30&lt;0,D30&gt;C30),"ПРОВЕРИТЬ: распределение",IF(E30=0,"Погашен",IF(B30="","Срок не задан",IF(B30&lt;$F$4,"Просрочен",IF(B30=$F$4,"Сегодня","Ожидается")))))))</x:f>
      </x:c>
      <x:c r="H30" s="6"/>
    </x:row>
    <x:row r="31" ht="45" customHeight="1">
      <x:c r="A31" s="2" t="str">
        <x:v>Э20</x:v>
      </x:c>
      <x:c r="B31" s="8"/>
      <x:c r="C31" s="7"/>
      <x:c r="D31" s="10" t="str">
        <x:f>IF(AND(OR(B31&lt;&gt;"",C31&lt;&gt;"",H31&lt;&gt;""),IF(ISNUMBER(C31),AND(C31&gt;0,C31=ROUND(C31,2)),FALSE),COUNTIF($A$12:$A$31,A31)=1),ROUND(SUMIFS('Журнал'!$D$10:$D$59,'Журнал'!$C$10:$C$59,A31,'Журнал'!$H$10:$H$59,"Учтено"),2),"")</x:f>
      </x:c>
      <x:c r="E31" s="10" t="str">
        <x:f>IF(ISNUMBER(D31),ROUND(C31-D31,2),"")</x:f>
      </x:c>
      <x:c r="F31" s="10" t="str">
        <x:f>IF(NOT(OR(B31&lt;&gt;"",C31&lt;&gt;"",H31&lt;&gt;"")),"",IF(AND(ISNUMBER(E31),IF(ISNUMBER(B31),AND(B31&gt;=1,B31&lt;=2958465,B31=INT(B31)),FALSE),IF(ISNUMBER($F$4),AND($F$4&gt;=1,$F$4&lt;=2958465,$F$4=INT($F$4)),FALSE)),IF(B31&lt;$F$4,E31,0),0))</x:f>
      </x:c>
      <x:c r="G31" s="9" t="str">
        <x:f>IF(NOT(OR(B31&lt;&gt;"",C31&lt;&gt;"",H31&lt;&gt;"")),"",IF(NOT(AND(IF(ISNUMBER(C31),AND(C31&gt;0,C31=ROUND(C31,2)),FALSE),A31&lt;&gt;"",COUNTIF($A$12:$A$31,A31)=1,IF(B31="",TRUE,IF(ISNUMBER(B31),AND(B31&gt;=1,B31&lt;=2958465,B31=INT(B31)),FALSE)))),"ПРОВЕРИТЬ: ввод",IF(OR(D31&lt;0,D31&gt;C31),"ПРОВЕРИТЬ: распределение",IF(E31=0,"Погашен",IF(B31="","Срок не задан",IF(B31&lt;$F$4,"Просрочен",IF(B31=$F$4,"Сегодня","Ожидается")))))))</x:f>
      </x:c>
      <x:c r="H31" s="6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</x:row>
    <x:row r="33" ht="26" customHeight="1">
      <x:c r="A33" s="2" t="str">
        <x:v>1. Укажите ID, сумму сделки, дату среза и версию. Заполните этапы; ID Э1–Э20 сохраняйте. Пустые резервные строки не учитываются.</x:v>
      </x:c>
      <x:c r="B33" s="2"/>
      <x:c r="C33" s="2"/>
      <x:c r="D33" s="2"/>
      <x:c r="E33" s="2"/>
      <x:c r="F33" s="2"/>
      <x:c r="G33" s="2"/>
      <x:c r="H33" s="2"/>
    </x:row>
    <x:row r="34" ht="26" customHeight="1">
      <x:c r="A34" s="2" t="str">
        <x:v>2. Замените учебные строки «Журнала» подтверждёнными данными. Одна строка относится к одному этапу и имеет свой ID.</x:v>
      </x:c>
      <x:c r="B34" s="2"/>
      <x:c r="C34" s="2"/>
      <x:c r="D34" s="2"/>
      <x:c r="E34" s="2"/>
      <x:c r="F34" s="2"/>
      <x:c r="G34" s="2"/>
      <x:c r="H34" s="2"/>
    </x:row>
    <x:row r="35" ht="26" customHeight="1">
      <x:c r="A35" s="2" t="str">
        <x:v>3. При «ПРОВЕРИТЬ» исправьте строки и сравните сумму этапов с суммой сделки. Переплата/отрицательный факт не скрываются нулём.</x:v>
      </x:c>
      <x:c r="B35" s="2"/>
      <x:c r="C35" s="2"/>
      <x:c r="D35" s="2"/>
      <x:c r="E35" s="2"/>
      <x:c r="F35" s="2"/>
      <x:c r="G35" s="2"/>
      <x:c r="H35" s="2"/>
    </x:row>
    <x:row r="36" ht="26" customHeight="1">
      <x:c r="A36" s="2" t="str">
        <x:v>4. Просрочка: срок раньше даты среза. Срок на эту дату — «Сегодня». Остаток без даты показан отдельно и требует уточнения срока.</x:v>
      </x:c>
      <x:c r="B36" s="2"/>
      <x:c r="C36" s="2"/>
      <x:c r="D36" s="2"/>
      <x:c r="E36" s="2"/>
      <x:c r="F36" s="2"/>
      <x:c r="G36" s="2"/>
      <x:c r="H36" s="2"/>
    </x:row>
    <x:row r="37" ht="26" customHeight="1">
      <x:c r="A37" s="2" t="str">
        <x:v>5. До изменения договорённостей сохраните копию файла. Срез меняет учёт фактов по датам, но не восстанавливает старые версии плана.</x:v>
      </x:c>
      <x:c r="B37" s="2"/>
      <x:c r="C37" s="2"/>
      <x:c r="D37" s="2"/>
      <x:c r="E37" s="2"/>
      <x:c r="F37" s="2"/>
      <x:c r="G37" s="2"/>
      <x:c r="H37" s="2"/>
    </x:row>
    <x:row r="38" ht="26" customHeight="1">
      <x:c r="A38" s="2" t="str">
        <x:v>Лимит: 20 этапов (12–31) и 50 строк журнала (10–59). Добавленные ниже строки в формулах не учитываются. Только RUB.</x:v>
      </x:c>
      <x:c r="B38" s="2"/>
      <x:c r="C38" s="2"/>
      <x:c r="D38" s="2"/>
      <x:c r="E38" s="2"/>
      <x:c r="F38" s="2"/>
      <x:c r="G38" s="2"/>
      <x:c r="H38" s="2"/>
    </x:row>
    <x:row r="39" ht="26" customHeight="1">
      <x:c r="A39" s="2" t="str">
        <x:v>Совпадение даты и суммы не доказывает дубль. ID строки проверяется, но дубли банковской операции и верность основания проверяет сотрудник.</x:v>
      </x:c>
      <x:c r="B39" s="2"/>
      <x:c r="C39" s="2"/>
      <x:c r="D39" s="2"/>
      <x:c r="E39" s="2"/>
      <x:c r="F39" s="2"/>
      <x:c r="G39" s="2"/>
      <x:c r="H39" s="2"/>
    </x:row>
    <x:row r="40" ht="26" customHeight="1">
      <x:c r="A40" s="2" t="str">
        <x:v>Учебные данные TrueTell. Это отдельный Excel-файл, без связи с CRM/банком и без макросов. Источник: https://truetell-retail.ru/grafik-platezhey-bitrix24/</x:v>
      </x:c>
      <x:c r="B40" s="2"/>
      <x:c r="C40" s="2"/>
      <x:c r="D40" s="2"/>
      <x:c r="E40" s="2"/>
      <x:c r="F40" s="2"/>
      <x:c r="G40" s="2"/>
      <x:c r="H40" s="2"/>
    </x:row>
    <x:row r="41" ht="26" customHeight="1">
      <x:c r="A41" s="2"/>
      <x:c r="B41" s="2"/>
      <x:c r="C41" s="2"/>
      <x:c r="D41" s="2"/>
      <x:c r="E41" s="2"/>
      <x:c r="F41" s="2"/>
      <x:c r="G41" s="2"/>
      <x:c r="H41" s="2"/>
    </x:row>
  </x:sheetData>
  <x:conditionalFormatting sqref="G12:G31">
    <x:cfRule type="beginsWith" dxfId="0" priority="1" operator="beginsWith" text="ПРОВЕРИТЬ"/>
  </x:conditionalFormatting>
  <x:conditionalFormatting sqref="D7:D7">
    <x:cfRule type="cellIs" dxfId="2" priority="2" operator="greaterThan">
      <x:formula>0</x:formula>
    </x:cfRule>
  </x:conditionalFormatting>
  <x:conditionalFormatting sqref="F12:F31">
    <x:cfRule type="cellIs" dxfId="3" priority="3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01621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11.109999656677246" hidden="0" customWidth="1"/>
    <x:col min="2" max="2" width="14.4399995803833" hidden="0" customWidth="1"/>
    <x:col min="3" max="3" width="11.109999656677246" hidden="0" customWidth="1"/>
    <x:col min="4" max="4" width="16.110000610351562" hidden="0" customWidth="1"/>
    <x:col min="5" max="5" width="16.670000076293945" hidden="0" customWidth="1"/>
    <x:col min="6" max="6" width="27.780000686645508" hidden="0" customWidth="1"/>
    <x:col min="7" max="7" width="36.66999816894531" hidden="0" customWidth="1"/>
    <x:col min="8" max="8" width="25.559999465942383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3" t="str">
        <x:v>Журнал распределённых поступлений</x:v>
      </x:c>
      <x:c r="B2" s="2"/>
      <x:c r="C2" s="2"/>
      <x:c r="D2" s="2"/>
      <x:c r="E2" s="2"/>
      <x:c r="F2" s="2"/>
      <x:c r="G2" s="2"/>
      <x:c r="H2" s="2"/>
    </x:row>
    <x:row r="3" ht="26" customHeight="1">
      <x:c r="A3" s="2"/>
      <x:c r="B3" s="2"/>
      <x:c r="C3" s="2"/>
      <x:c r="D3" s="2"/>
      <x:c r="E3" s="2"/>
      <x:c r="F3" s="2"/>
      <x:c r="G3" s="2"/>
      <x:c r="H3" s="2"/>
    </x:row>
    <x:row r="4" ht="26" customHeight="1">
      <x:c r="A4" s="2" t="str">
        <x:v>Одна строка — часть факта, отнесённая к одному этапу. Делите платёж между этапами, не дублируйте полную сумму.</x:v>
      </x:c>
      <x:c r="B4" s="2"/>
      <x:c r="C4" s="2"/>
      <x:c r="D4" s="2"/>
      <x:c r="E4" s="2"/>
      <x:c r="F4" s="2"/>
      <x:c r="G4" s="2"/>
      <x:c r="H4" s="2"/>
    </x:row>
    <x:row r="5" ht="26" customHeight="1">
      <x:c r="A5" s="2" t="str">
        <x:v>Поступление: плюс; возврат: минус; исправление: плюс или минус. Сохраняйте исходную строку и ссылку на неё в основании.</x:v>
      </x:c>
      <x:c r="B5" s="2"/>
      <x:c r="C5" s="2"/>
      <x:c r="D5" s="2"/>
      <x:c r="E5" s="2"/>
      <x:c r="F5" s="2"/>
      <x:c r="G5" s="2"/>
      <x:c r="H5" s="2"/>
    </x:row>
    <x:row r="6" ht="26" customHeight="1">
      <x:c r="A6" s="2" t="str">
        <x:v>Запись после даты среза не участвует в расчёте. Подтверждайте факт по принятому источнику: автоматической банковской сверки нет.</x:v>
      </x:c>
      <x:c r="B6" s="2"/>
      <x:c r="C6" s="2"/>
      <x:c r="D6" s="2"/>
      <x:c r="E6" s="2"/>
      <x:c r="F6" s="2"/>
      <x:c r="G6" s="2"/>
      <x:c r="H6" s="2"/>
    </x:row>
    <x:row r="7" ht="26" customHeight="1">
      <x:c r="A7" s="2" t="str">
        <x:v>До 50 строк (10–59); ID записей уникальны. Суммы в RUB, не более двух знаков. Синие ячейки — ввод.</x:v>
      </x:c>
      <x:c r="B7" s="2"/>
      <x:c r="C7" s="2"/>
      <x:c r="D7" s="2"/>
      <x:c r="E7" s="2"/>
      <x:c r="F7" s="2"/>
      <x:c r="G7" s="2"/>
      <x:c r="H7" s="2"/>
    </x:row>
    <x:row r="8" ht="26" customHeight="1">
      <x:c r="A8" s="2"/>
      <x:c r="B8" s="2"/>
      <x:c r="C8" s="2"/>
      <x:c r="D8" s="2"/>
      <x:c r="E8" s="2"/>
      <x:c r="F8" s="2"/>
      <x:c r="G8" s="2"/>
      <x:c r="H8" s="2"/>
    </x:row>
    <x:row r="9" ht="40" customHeight="1">
      <x:c r="A9" s="14" t="str">
        <x:v>ID записи</x:v>
      </x:c>
      <x:c r="B9" s="14" t="str">
        <x:v>Дата факта</x:v>
      </x:c>
      <x:c r="C9" s="14" t="str">
        <x:v>ID этапа</x:v>
      </x:c>
      <x:c r="D9" s="14" t="str">
        <x:v>Сумма, RUB (+/−)</x:v>
      </x:c>
      <x:c r="E9" s="14" t="str">
        <x:v>Тип</x:v>
      </x:c>
      <x:c r="F9" s="14" t="str">
        <x:v>Основание / исходная запись</x:v>
      </x:c>
      <x:c r="G9" s="14" t="str">
        <x:v>Комментарий</x:v>
      </x:c>
      <x:c r="H9" s="14" t="str">
        <x:v>Проверка</x:v>
      </x:c>
    </x:row>
    <x:row r="10" ht="48" customHeight="1">
      <x:c r="A10" s="6" t="str">
        <x:v>J001</x:v>
      </x:c>
      <x:c r="B10" s="8" t="n">
        <x:v>46309</x:v>
      </x:c>
      <x:c r="C10" s="6" t="str">
        <x:v>Э1</x:v>
      </x:c>
      <x:c r="D10" s="7" t="n">
        <x:v>36000</x:v>
      </x:c>
      <x:c r="E10" s="6" t="str">
        <x:v>Поступление</x:v>
      </x:c>
      <x:c r="F10" s="6" t="str">
        <x:v>УЧЕБНЫЙ ПЛАТЁЖ P1</x:v>
      </x:c>
      <x:c r="G10" s="6" t="str">
        <x:v>Часть 36 000 из общего платежа 42 000</x:v>
      </x:c>
      <x:c r="H10" s="9" t="str">
        <x:f>IF(COUNTA(A10:G10)=0,"",IF(AND(A10&lt;&gt;"",COUNTIF($A$10:$A$59,A10)=1,IF(ISNUMBER(B10),AND(B10&gt;=1,B10&lt;=2958465,B10=INT(B10)),FALSE),COUNTIF('График'!$A$12:$A$31,C10)=1,COUNTIFS('График'!$A$12:$A$31,C10,'График'!$C$12:$C$31,"&gt;0")=1,IF(ISNUMBER(D10),AND(D10&lt;&gt;0,D10=ROUND(D10,2)),FALSE),OR(E10="Поступление",E10="Возврат",E10="Исправление"),IF(E10="Поступление",D10&gt;0,IF(E10="Возврат",D10&lt;0,TRUE)),F10&lt;&gt;""),IF(IF(ISNUMBER('График'!$F$4),AND('График'!$F$4&gt;=1,'График'!$F$4&lt;=2958465,'График'!$F$4=INT('График'!$F$4)),FALSE),IF(B10&gt;'График'!$F$4,"После среза","Учтено"),"ПРОВЕРИТЬ: дата среза"),"ПРОВЕРИТЬ: строка"))</x:f>
        <x:v>Учтено</x:v>
      </x:c>
    </x:row>
    <x:row r="11" ht="48" customHeight="1">
      <x:c r="A11" s="6" t="str">
        <x:v>J002</x:v>
      </x:c>
      <x:c r="B11" s="8" t="n">
        <x:v>46309</x:v>
      </x:c>
      <x:c r="C11" s="6" t="str">
        <x:v>Э2</x:v>
      </x:c>
      <x:c r="D11" s="7" t="n">
        <x:v>6000</x:v>
      </x:c>
      <x:c r="E11" s="6" t="str">
        <x:v>Поступление</x:v>
      </x:c>
      <x:c r="F11" s="6" t="str">
        <x:v>УЧЕБНЫЙ ПЛАТЁЖ P1</x:v>
      </x:c>
      <x:c r="G11" s="6" t="str">
        <x:v>Остальная часть 6 000 из того же платежа</x:v>
      </x:c>
      <x:c r="H11" s="9" t="str">
        <x:f>IF(COUNTA(A11:G11)=0,"",IF(AND(A11&lt;&gt;"",COUNTIF($A$10:$A$59,A11)=1,IF(ISNUMBER(B11),AND(B11&gt;=1,B11&lt;=2958465,B11=INT(B11)),FALSE),COUNTIF('График'!$A$12:$A$31,C11)=1,COUNTIFS('График'!$A$12:$A$31,C11,'График'!$C$12:$C$31,"&gt;0")=1,IF(ISNUMBER(D11),AND(D11&lt;&gt;0,D11=ROUND(D11,2)),FALSE),OR(E11="Поступление",E11="Возврат",E11="Исправление"),IF(E11="Поступление",D11&gt;0,IF(E11="Возврат",D11&lt;0,TRUE)),F11&lt;&gt;""),IF(IF(ISNUMBER('График'!$F$4),AND('График'!$F$4&gt;=1,'График'!$F$4&lt;=2958465,'График'!$F$4=INT('График'!$F$4)),FALSE),IF(B11&gt;'График'!$F$4,"После среза","Учтено"),"ПРОВЕРИТЬ: дата среза"),"ПРОВЕРИТЬ: строка"))</x:f>
        <x:v>Учтено</x:v>
      </x:c>
    </x:row>
    <x:row r="12" ht="48" customHeight="1">
      <x:c r="A12" s="6" t="str">
        <x:v>J003</x:v>
      </x:c>
      <x:c r="B12" s="8" t="n">
        <x:v>46315</x:v>
      </x:c>
      <x:c r="C12" s="6" t="str">
        <x:v>Э2</x:v>
      </x:c>
      <x:c r="D12" s="7" t="n">
        <x:v>6000</x:v>
      </x:c>
      <x:c r="E12" s="6" t="str">
        <x:v>Поступление</x:v>
      </x:c>
      <x:c r="F12" s="6" t="str">
        <x:v>УЧЕБНЫЙ ПЛАТЁЖ P2</x:v>
      </x:c>
      <x:c r="G12" s="6" t="str">
        <x:v>Отдельное поступление 6 000</x:v>
      </x:c>
      <x:c r="H12" s="9" t="str">
        <x:f>IF(COUNTA(A12:G12)=0,"",IF(AND(A12&lt;&gt;"",COUNTIF($A$10:$A$59,A12)=1,IF(ISNUMBER(B12),AND(B12&gt;=1,B12&lt;=2958465,B12=INT(B12)),FALSE),COUNTIF('График'!$A$12:$A$31,C12)=1,COUNTIFS('График'!$A$12:$A$31,C12,'График'!$C$12:$C$31,"&gt;0")=1,IF(ISNUMBER(D12),AND(D12&lt;&gt;0,D12=ROUND(D12,2)),FALSE),OR(E12="Поступление",E12="Возврат",E12="Исправление"),IF(E12="Поступление",D12&gt;0,IF(E12="Возврат",D12&lt;0,TRUE)),F12&lt;&gt;""),IF(IF(ISNUMBER('График'!$F$4),AND('График'!$F$4&gt;=1,'График'!$F$4&lt;=2958465,'График'!$F$4=INT('График'!$F$4)),FALSE),IF(B12&gt;'График'!$F$4,"После среза","Учтено"),"ПРОВЕРИТЬ: дата среза"),"ПРОВЕРИТЬ: строка"))</x:f>
        <x:v>Учтено</x:v>
      </x:c>
    </x:row>
    <x:row r="13" ht="48" customHeight="1">
      <x:c r="A13" s="6"/>
      <x:c r="B13" s="8"/>
      <x:c r="C13" s="6"/>
      <x:c r="D13" s="7"/>
      <x:c r="E13" s="6"/>
      <x:c r="F13" s="6"/>
      <x:c r="G13" s="6"/>
      <x:c r="H13" s="9" t="str">
        <x:f>IF(COUNTA(A13:G13)=0,"",IF(AND(A13&lt;&gt;"",COUNTIF($A$10:$A$59,A13)=1,IF(ISNUMBER(B13),AND(B13&gt;=1,B13&lt;=2958465,B13=INT(B13)),FALSE),COUNTIF('График'!$A$12:$A$31,C13)=1,COUNTIFS('График'!$A$12:$A$31,C13,'График'!$C$12:$C$31,"&gt;0")=1,IF(ISNUMBER(D13),AND(D13&lt;&gt;0,D13=ROUND(D13,2)),FALSE),OR(E13="Поступление",E13="Возврат",E13="Исправление"),IF(E13="Поступление",D13&gt;0,IF(E13="Возврат",D13&lt;0,TRUE)),F13&lt;&gt;""),IF(IF(ISNUMBER('График'!$F$4),AND('График'!$F$4&gt;=1,'График'!$F$4&lt;=2958465,'График'!$F$4=INT('График'!$F$4)),FALSE),IF(B13&gt;'График'!$F$4,"После среза","Учтено"),"ПРОВЕРИТЬ: дата среза"),"ПРОВЕРИТЬ: строка"))</x:f>
      </x:c>
    </x:row>
    <x:row r="14" ht="48" customHeight="1">
      <x:c r="A14" s="6"/>
      <x:c r="B14" s="8"/>
      <x:c r="C14" s="6"/>
      <x:c r="D14" s="7"/>
      <x:c r="E14" s="6"/>
      <x:c r="F14" s="6"/>
      <x:c r="G14" s="6"/>
      <x:c r="H14" s="9" t="str">
        <x:f>IF(COUNTA(A14:G14)=0,"",IF(AND(A14&lt;&gt;"",COUNTIF($A$10:$A$59,A14)=1,IF(ISNUMBER(B14),AND(B14&gt;=1,B14&lt;=2958465,B14=INT(B14)),FALSE),COUNTIF('График'!$A$12:$A$31,C14)=1,COUNTIFS('График'!$A$12:$A$31,C14,'График'!$C$12:$C$31,"&gt;0")=1,IF(ISNUMBER(D14),AND(D14&lt;&gt;0,D14=ROUND(D14,2)),FALSE),OR(E14="Поступление",E14="Возврат",E14="Исправление"),IF(E14="Поступление",D14&gt;0,IF(E14="Возврат",D14&lt;0,TRUE)),F14&lt;&gt;""),IF(IF(ISNUMBER('График'!$F$4),AND('График'!$F$4&gt;=1,'График'!$F$4&lt;=2958465,'График'!$F$4=INT('График'!$F$4)),FALSE),IF(B14&gt;'График'!$F$4,"После среза","Учтено"),"ПРОВЕРИТЬ: дата среза"),"ПРОВЕРИТЬ: строка"))</x:f>
      </x:c>
    </x:row>
    <x:row r="15" ht="48" customHeight="1">
      <x:c r="A15" s="6"/>
      <x:c r="B15" s="8"/>
      <x:c r="C15" s="6"/>
      <x:c r="D15" s="7"/>
      <x:c r="E15" s="6"/>
      <x:c r="F15" s="6"/>
      <x:c r="G15" s="6"/>
      <x:c r="H15" s="9" t="str">
        <x:f>IF(COUNTA(A15:G15)=0,"",IF(AND(A15&lt;&gt;"",COUNTIF($A$10:$A$59,A15)=1,IF(ISNUMBER(B15),AND(B15&gt;=1,B15&lt;=2958465,B15=INT(B15)),FALSE),COUNTIF('График'!$A$12:$A$31,C15)=1,COUNTIFS('График'!$A$12:$A$31,C15,'График'!$C$12:$C$31,"&gt;0")=1,IF(ISNUMBER(D15),AND(D15&lt;&gt;0,D15=ROUND(D15,2)),FALSE),OR(E15="Поступление",E15="Возврат",E15="Исправление"),IF(E15="Поступление",D15&gt;0,IF(E15="Возврат",D15&lt;0,TRUE)),F15&lt;&gt;""),IF(IF(ISNUMBER('График'!$F$4),AND('График'!$F$4&gt;=1,'График'!$F$4&lt;=2958465,'График'!$F$4=INT('График'!$F$4)),FALSE),IF(B15&gt;'График'!$F$4,"После среза","Учтено"),"ПРОВЕРИТЬ: дата среза"),"ПРОВЕРИТЬ: строка"))</x:f>
      </x:c>
    </x:row>
    <x:row r="16" ht="48" customHeight="1">
      <x:c r="A16" s="6"/>
      <x:c r="B16" s="8"/>
      <x:c r="C16" s="6"/>
      <x:c r="D16" s="7"/>
      <x:c r="E16" s="6"/>
      <x:c r="F16" s="6"/>
      <x:c r="G16" s="6"/>
      <x:c r="H16" s="9" t="str">
        <x:f>IF(COUNTA(A16:G16)=0,"",IF(AND(A16&lt;&gt;"",COUNTIF($A$10:$A$59,A16)=1,IF(ISNUMBER(B16),AND(B16&gt;=1,B16&lt;=2958465,B16=INT(B16)),FALSE),COUNTIF('График'!$A$12:$A$31,C16)=1,COUNTIFS('График'!$A$12:$A$31,C16,'График'!$C$12:$C$31,"&gt;0")=1,IF(ISNUMBER(D16),AND(D16&lt;&gt;0,D16=ROUND(D16,2)),FALSE),OR(E16="Поступление",E16="Возврат",E16="Исправление"),IF(E16="Поступление",D16&gt;0,IF(E16="Возврат",D16&lt;0,TRUE)),F16&lt;&gt;""),IF(IF(ISNUMBER('График'!$F$4),AND('График'!$F$4&gt;=1,'График'!$F$4&lt;=2958465,'График'!$F$4=INT('График'!$F$4)),FALSE),IF(B16&gt;'График'!$F$4,"После среза","Учтено"),"ПРОВЕРИТЬ: дата среза"),"ПРОВЕРИТЬ: строка"))</x:f>
      </x:c>
    </x:row>
    <x:row r="17" ht="48" customHeight="1">
      <x:c r="A17" s="6"/>
      <x:c r="B17" s="8"/>
      <x:c r="C17" s="6"/>
      <x:c r="D17" s="7"/>
      <x:c r="E17" s="6"/>
      <x:c r="F17" s="6"/>
      <x:c r="G17" s="6"/>
      <x:c r="H17" s="9" t="str">
        <x:f>IF(COUNTA(A17:G17)=0,"",IF(AND(A17&lt;&gt;"",COUNTIF($A$10:$A$59,A17)=1,IF(ISNUMBER(B17),AND(B17&gt;=1,B17&lt;=2958465,B17=INT(B17)),FALSE),COUNTIF('График'!$A$12:$A$31,C17)=1,COUNTIFS('График'!$A$12:$A$31,C17,'График'!$C$12:$C$31,"&gt;0")=1,IF(ISNUMBER(D17),AND(D17&lt;&gt;0,D17=ROUND(D17,2)),FALSE),OR(E17="Поступление",E17="Возврат",E17="Исправление"),IF(E17="Поступление",D17&gt;0,IF(E17="Возврат",D17&lt;0,TRUE)),F17&lt;&gt;""),IF(IF(ISNUMBER('График'!$F$4),AND('График'!$F$4&gt;=1,'График'!$F$4&lt;=2958465,'График'!$F$4=INT('График'!$F$4)),FALSE),IF(B17&gt;'График'!$F$4,"После среза","Учтено"),"ПРОВЕРИТЬ: дата среза"),"ПРОВЕРИТЬ: строка"))</x:f>
      </x:c>
    </x:row>
    <x:row r="18" ht="48" customHeight="1">
      <x:c r="A18" s="6"/>
      <x:c r="B18" s="8"/>
      <x:c r="C18" s="6"/>
      <x:c r="D18" s="7"/>
      <x:c r="E18" s="6"/>
      <x:c r="F18" s="6"/>
      <x:c r="G18" s="6"/>
      <x:c r="H18" s="9" t="str">
        <x:f>IF(COUNTA(A18:G18)=0,"",IF(AND(A18&lt;&gt;"",COUNTIF($A$10:$A$59,A18)=1,IF(ISNUMBER(B18),AND(B18&gt;=1,B18&lt;=2958465,B18=INT(B18)),FALSE),COUNTIF('График'!$A$12:$A$31,C18)=1,COUNTIFS('График'!$A$12:$A$31,C18,'График'!$C$12:$C$31,"&gt;0")=1,IF(ISNUMBER(D18),AND(D18&lt;&gt;0,D18=ROUND(D18,2)),FALSE),OR(E18="Поступление",E18="Возврат",E18="Исправление"),IF(E18="Поступление",D18&gt;0,IF(E18="Возврат",D18&lt;0,TRUE)),F18&lt;&gt;""),IF(IF(ISNUMBER('График'!$F$4),AND('График'!$F$4&gt;=1,'График'!$F$4&lt;=2958465,'График'!$F$4=INT('График'!$F$4)),FALSE),IF(B18&gt;'График'!$F$4,"После среза","Учтено"),"ПРОВЕРИТЬ: дата среза"),"ПРОВЕРИТЬ: строка"))</x:f>
      </x:c>
    </x:row>
    <x:row r="19" ht="48" customHeight="1">
      <x:c r="A19" s="6"/>
      <x:c r="B19" s="8"/>
      <x:c r="C19" s="6"/>
      <x:c r="D19" s="7"/>
      <x:c r="E19" s="6"/>
      <x:c r="F19" s="6"/>
      <x:c r="G19" s="6"/>
      <x:c r="H19" s="9" t="str">
        <x:f>IF(COUNTA(A19:G19)=0,"",IF(AND(A19&lt;&gt;"",COUNTIF($A$10:$A$59,A19)=1,IF(ISNUMBER(B19),AND(B19&gt;=1,B19&lt;=2958465,B19=INT(B19)),FALSE),COUNTIF('График'!$A$12:$A$31,C19)=1,COUNTIFS('График'!$A$12:$A$31,C19,'График'!$C$12:$C$31,"&gt;0")=1,IF(ISNUMBER(D19),AND(D19&lt;&gt;0,D19=ROUND(D19,2)),FALSE),OR(E19="Поступление",E19="Возврат",E19="Исправление"),IF(E19="Поступление",D19&gt;0,IF(E19="Возврат",D19&lt;0,TRUE)),F19&lt;&gt;""),IF(IF(ISNUMBER('График'!$F$4),AND('График'!$F$4&gt;=1,'График'!$F$4&lt;=2958465,'График'!$F$4=INT('График'!$F$4)),FALSE),IF(B19&gt;'График'!$F$4,"После среза","Учтено"),"ПРОВЕРИТЬ: дата среза"),"ПРОВЕРИТЬ: строка"))</x:f>
      </x:c>
    </x:row>
    <x:row r="20" ht="48" customHeight="1">
      <x:c r="A20" s="6"/>
      <x:c r="B20" s="8"/>
      <x:c r="C20" s="6"/>
      <x:c r="D20" s="7"/>
      <x:c r="E20" s="6"/>
      <x:c r="F20" s="6"/>
      <x:c r="G20" s="6"/>
      <x:c r="H20" s="9" t="str">
        <x:f>IF(COUNTA(A20:G20)=0,"",IF(AND(A20&lt;&gt;"",COUNTIF($A$10:$A$59,A20)=1,IF(ISNUMBER(B20),AND(B20&gt;=1,B20&lt;=2958465,B20=INT(B20)),FALSE),COUNTIF('График'!$A$12:$A$31,C20)=1,COUNTIFS('График'!$A$12:$A$31,C20,'График'!$C$12:$C$31,"&gt;0")=1,IF(ISNUMBER(D20),AND(D20&lt;&gt;0,D20=ROUND(D20,2)),FALSE),OR(E20="Поступление",E20="Возврат",E20="Исправление"),IF(E20="Поступление",D20&gt;0,IF(E20="Возврат",D20&lt;0,TRUE)),F20&lt;&gt;""),IF(IF(ISNUMBER('График'!$F$4),AND('График'!$F$4&gt;=1,'График'!$F$4&lt;=2958465,'График'!$F$4=INT('График'!$F$4)),FALSE),IF(B20&gt;'График'!$F$4,"После среза","Учтено"),"ПРОВЕРИТЬ: дата среза"),"ПРОВЕРИТЬ: строка"))</x:f>
      </x:c>
    </x:row>
    <x:row r="21" ht="48" customHeight="1">
      <x:c r="A21" s="6"/>
      <x:c r="B21" s="8"/>
      <x:c r="C21" s="6"/>
      <x:c r="D21" s="7"/>
      <x:c r="E21" s="6"/>
      <x:c r="F21" s="6"/>
      <x:c r="G21" s="6"/>
      <x:c r="H21" s="9" t="str">
        <x:f>IF(COUNTA(A21:G21)=0,"",IF(AND(A21&lt;&gt;"",COUNTIF($A$10:$A$59,A21)=1,IF(ISNUMBER(B21),AND(B21&gt;=1,B21&lt;=2958465,B21=INT(B21)),FALSE),COUNTIF('График'!$A$12:$A$31,C21)=1,COUNTIFS('График'!$A$12:$A$31,C21,'График'!$C$12:$C$31,"&gt;0")=1,IF(ISNUMBER(D21),AND(D21&lt;&gt;0,D21=ROUND(D21,2)),FALSE),OR(E21="Поступление",E21="Возврат",E21="Исправление"),IF(E21="Поступление",D21&gt;0,IF(E21="Возврат",D21&lt;0,TRUE)),F21&lt;&gt;""),IF(IF(ISNUMBER('График'!$F$4),AND('График'!$F$4&gt;=1,'График'!$F$4&lt;=2958465,'График'!$F$4=INT('График'!$F$4)),FALSE),IF(B21&gt;'График'!$F$4,"После среза","Учтено"),"ПРОВЕРИТЬ: дата среза"),"ПРОВЕРИТЬ: строка"))</x:f>
      </x:c>
    </x:row>
    <x:row r="22" ht="48" customHeight="1">
      <x:c r="A22" s="6"/>
      <x:c r="B22" s="8"/>
      <x:c r="C22" s="6"/>
      <x:c r="D22" s="7"/>
      <x:c r="E22" s="6"/>
      <x:c r="F22" s="6"/>
      <x:c r="G22" s="6"/>
      <x:c r="H22" s="9" t="str">
        <x:f>IF(COUNTA(A22:G22)=0,"",IF(AND(A22&lt;&gt;"",COUNTIF($A$10:$A$59,A22)=1,IF(ISNUMBER(B22),AND(B22&gt;=1,B22&lt;=2958465,B22=INT(B22)),FALSE),COUNTIF('График'!$A$12:$A$31,C22)=1,COUNTIFS('График'!$A$12:$A$31,C22,'График'!$C$12:$C$31,"&gt;0")=1,IF(ISNUMBER(D22),AND(D22&lt;&gt;0,D22=ROUND(D22,2)),FALSE),OR(E22="Поступление",E22="Возврат",E22="Исправление"),IF(E22="Поступление",D22&gt;0,IF(E22="Возврат",D22&lt;0,TRUE)),F22&lt;&gt;""),IF(IF(ISNUMBER('График'!$F$4),AND('График'!$F$4&gt;=1,'График'!$F$4&lt;=2958465,'График'!$F$4=INT('График'!$F$4)),FALSE),IF(B22&gt;'График'!$F$4,"После среза","Учтено"),"ПРОВЕРИТЬ: дата среза"),"ПРОВЕРИТЬ: строка"))</x:f>
      </x:c>
    </x:row>
    <x:row r="23" ht="48" customHeight="1">
      <x:c r="A23" s="6"/>
      <x:c r="B23" s="8"/>
      <x:c r="C23" s="6"/>
      <x:c r="D23" s="7"/>
      <x:c r="E23" s="6"/>
      <x:c r="F23" s="6"/>
      <x:c r="G23" s="6"/>
      <x:c r="H23" s="9" t="str">
        <x:f>IF(COUNTA(A23:G23)=0,"",IF(AND(A23&lt;&gt;"",COUNTIF($A$10:$A$59,A23)=1,IF(ISNUMBER(B23),AND(B23&gt;=1,B23&lt;=2958465,B23=INT(B23)),FALSE),COUNTIF('График'!$A$12:$A$31,C23)=1,COUNTIFS('График'!$A$12:$A$31,C23,'График'!$C$12:$C$31,"&gt;0")=1,IF(ISNUMBER(D23),AND(D23&lt;&gt;0,D23=ROUND(D23,2)),FALSE),OR(E23="Поступление",E23="Возврат",E23="Исправление"),IF(E23="Поступление",D23&gt;0,IF(E23="Возврат",D23&lt;0,TRUE)),F23&lt;&gt;""),IF(IF(ISNUMBER('График'!$F$4),AND('График'!$F$4&gt;=1,'График'!$F$4&lt;=2958465,'График'!$F$4=INT('График'!$F$4)),FALSE),IF(B23&gt;'График'!$F$4,"После среза","Учтено"),"ПРОВЕРИТЬ: дата среза"),"ПРОВЕРИТЬ: строка"))</x:f>
      </x:c>
    </x:row>
    <x:row r="24" ht="48" customHeight="1">
      <x:c r="A24" s="6"/>
      <x:c r="B24" s="8"/>
      <x:c r="C24" s="6"/>
      <x:c r="D24" s="7"/>
      <x:c r="E24" s="6"/>
      <x:c r="F24" s="6"/>
      <x:c r="G24" s="6"/>
      <x:c r="H24" s="9" t="str">
        <x:f>IF(COUNTA(A24:G24)=0,"",IF(AND(A24&lt;&gt;"",COUNTIF($A$10:$A$59,A24)=1,IF(ISNUMBER(B24),AND(B24&gt;=1,B24&lt;=2958465,B24=INT(B24)),FALSE),COUNTIF('График'!$A$12:$A$31,C24)=1,COUNTIFS('График'!$A$12:$A$31,C24,'График'!$C$12:$C$31,"&gt;0")=1,IF(ISNUMBER(D24),AND(D24&lt;&gt;0,D24=ROUND(D24,2)),FALSE),OR(E24="Поступление",E24="Возврат",E24="Исправление"),IF(E24="Поступление",D24&gt;0,IF(E24="Возврат",D24&lt;0,TRUE)),F24&lt;&gt;""),IF(IF(ISNUMBER('График'!$F$4),AND('График'!$F$4&gt;=1,'График'!$F$4&lt;=2958465,'График'!$F$4=INT('График'!$F$4)),FALSE),IF(B24&gt;'График'!$F$4,"После среза","Учтено"),"ПРОВЕРИТЬ: дата среза"),"ПРОВЕРИТЬ: строка"))</x:f>
      </x:c>
    </x:row>
    <x:row r="25" ht="48" customHeight="1">
      <x:c r="A25" s="6"/>
      <x:c r="B25" s="8"/>
      <x:c r="C25" s="6"/>
      <x:c r="D25" s="7"/>
      <x:c r="E25" s="6"/>
      <x:c r="F25" s="6"/>
      <x:c r="G25" s="6"/>
      <x:c r="H25" s="9" t="str">
        <x:f>IF(COUNTA(A25:G25)=0,"",IF(AND(A25&lt;&gt;"",COUNTIF($A$10:$A$59,A25)=1,IF(ISNUMBER(B25),AND(B25&gt;=1,B25&lt;=2958465,B25=INT(B25)),FALSE),COUNTIF('График'!$A$12:$A$31,C25)=1,COUNTIFS('График'!$A$12:$A$31,C25,'График'!$C$12:$C$31,"&gt;0")=1,IF(ISNUMBER(D25),AND(D25&lt;&gt;0,D25=ROUND(D25,2)),FALSE),OR(E25="Поступление",E25="Возврат",E25="Исправление"),IF(E25="Поступление",D25&gt;0,IF(E25="Возврат",D25&lt;0,TRUE)),F25&lt;&gt;""),IF(IF(ISNUMBER('График'!$F$4),AND('График'!$F$4&gt;=1,'График'!$F$4&lt;=2958465,'График'!$F$4=INT('График'!$F$4)),FALSE),IF(B25&gt;'График'!$F$4,"После среза","Учтено"),"ПРОВЕРИТЬ: дата среза"),"ПРОВЕРИТЬ: строка"))</x:f>
      </x:c>
    </x:row>
    <x:row r="26" ht="48" customHeight="1">
      <x:c r="A26" s="6"/>
      <x:c r="B26" s="8"/>
      <x:c r="C26" s="6"/>
      <x:c r="D26" s="7"/>
      <x:c r="E26" s="6"/>
      <x:c r="F26" s="6"/>
      <x:c r="G26" s="6"/>
      <x:c r="H26" s="9" t="str">
        <x:f>IF(COUNTA(A26:G26)=0,"",IF(AND(A26&lt;&gt;"",COUNTIF($A$10:$A$59,A26)=1,IF(ISNUMBER(B26),AND(B26&gt;=1,B26&lt;=2958465,B26=INT(B26)),FALSE),COUNTIF('График'!$A$12:$A$31,C26)=1,COUNTIFS('График'!$A$12:$A$31,C26,'График'!$C$12:$C$31,"&gt;0")=1,IF(ISNUMBER(D26),AND(D26&lt;&gt;0,D26=ROUND(D26,2)),FALSE),OR(E26="Поступление",E26="Возврат",E26="Исправление"),IF(E26="Поступление",D26&gt;0,IF(E26="Возврат",D26&lt;0,TRUE)),F26&lt;&gt;""),IF(IF(ISNUMBER('График'!$F$4),AND('График'!$F$4&gt;=1,'График'!$F$4&lt;=2958465,'График'!$F$4=INT('График'!$F$4)),FALSE),IF(B26&gt;'График'!$F$4,"После среза","Учтено"),"ПРОВЕРИТЬ: дата среза"),"ПРОВЕРИТЬ: строка"))</x:f>
      </x:c>
    </x:row>
    <x:row r="27" ht="48" customHeight="1">
      <x:c r="A27" s="6"/>
      <x:c r="B27" s="8"/>
      <x:c r="C27" s="6"/>
      <x:c r="D27" s="7"/>
      <x:c r="E27" s="6"/>
      <x:c r="F27" s="6"/>
      <x:c r="G27" s="6"/>
      <x:c r="H27" s="9" t="str">
        <x:f>IF(COUNTA(A27:G27)=0,"",IF(AND(A27&lt;&gt;"",COUNTIF($A$10:$A$59,A27)=1,IF(ISNUMBER(B27),AND(B27&gt;=1,B27&lt;=2958465,B27=INT(B27)),FALSE),COUNTIF('График'!$A$12:$A$31,C27)=1,COUNTIFS('График'!$A$12:$A$31,C27,'График'!$C$12:$C$31,"&gt;0")=1,IF(ISNUMBER(D27),AND(D27&lt;&gt;0,D27=ROUND(D27,2)),FALSE),OR(E27="Поступление",E27="Возврат",E27="Исправление"),IF(E27="Поступление",D27&gt;0,IF(E27="Возврат",D27&lt;0,TRUE)),F27&lt;&gt;""),IF(IF(ISNUMBER('График'!$F$4),AND('График'!$F$4&gt;=1,'График'!$F$4&lt;=2958465,'График'!$F$4=INT('График'!$F$4)),FALSE),IF(B27&gt;'График'!$F$4,"После среза","Учтено"),"ПРОВЕРИТЬ: дата среза"),"ПРОВЕРИТЬ: строка"))</x:f>
      </x:c>
    </x:row>
    <x:row r="28" ht="48" customHeight="1">
      <x:c r="A28" s="6"/>
      <x:c r="B28" s="8"/>
      <x:c r="C28" s="6"/>
      <x:c r="D28" s="7"/>
      <x:c r="E28" s="6"/>
      <x:c r="F28" s="6"/>
      <x:c r="G28" s="6"/>
      <x:c r="H28" s="9" t="str">
        <x:f>IF(COUNTA(A28:G28)=0,"",IF(AND(A28&lt;&gt;"",COUNTIF($A$10:$A$59,A28)=1,IF(ISNUMBER(B28),AND(B28&gt;=1,B28&lt;=2958465,B28=INT(B28)),FALSE),COUNTIF('График'!$A$12:$A$31,C28)=1,COUNTIFS('График'!$A$12:$A$31,C28,'График'!$C$12:$C$31,"&gt;0")=1,IF(ISNUMBER(D28),AND(D28&lt;&gt;0,D28=ROUND(D28,2)),FALSE),OR(E28="Поступление",E28="Возврат",E28="Исправление"),IF(E28="Поступление",D28&gt;0,IF(E28="Возврат",D28&lt;0,TRUE)),F28&lt;&gt;""),IF(IF(ISNUMBER('График'!$F$4),AND('График'!$F$4&gt;=1,'График'!$F$4&lt;=2958465,'График'!$F$4=INT('График'!$F$4)),FALSE),IF(B28&gt;'График'!$F$4,"После среза","Учтено"),"ПРОВЕРИТЬ: дата среза"),"ПРОВЕРИТЬ: строка"))</x:f>
      </x:c>
    </x:row>
    <x:row r="29" ht="48" customHeight="1">
      <x:c r="A29" s="6"/>
      <x:c r="B29" s="8"/>
      <x:c r="C29" s="6"/>
      <x:c r="D29" s="7"/>
      <x:c r="E29" s="6"/>
      <x:c r="F29" s="6"/>
      <x:c r="G29" s="6"/>
      <x:c r="H29" s="9" t="str">
        <x:f>IF(COUNTA(A29:G29)=0,"",IF(AND(A29&lt;&gt;"",COUNTIF($A$10:$A$59,A29)=1,IF(ISNUMBER(B29),AND(B29&gt;=1,B29&lt;=2958465,B29=INT(B29)),FALSE),COUNTIF('График'!$A$12:$A$31,C29)=1,COUNTIFS('График'!$A$12:$A$31,C29,'График'!$C$12:$C$31,"&gt;0")=1,IF(ISNUMBER(D29),AND(D29&lt;&gt;0,D29=ROUND(D29,2)),FALSE),OR(E29="Поступление",E29="Возврат",E29="Исправление"),IF(E29="Поступление",D29&gt;0,IF(E29="Возврат",D29&lt;0,TRUE)),F29&lt;&gt;""),IF(IF(ISNUMBER('График'!$F$4),AND('График'!$F$4&gt;=1,'График'!$F$4&lt;=2958465,'График'!$F$4=INT('График'!$F$4)),FALSE),IF(B29&gt;'График'!$F$4,"После среза","Учтено"),"ПРОВЕРИТЬ: дата среза"),"ПРОВЕРИТЬ: строка"))</x:f>
      </x:c>
    </x:row>
    <x:row r="30" ht="48" customHeight="1">
      <x:c r="A30" s="6"/>
      <x:c r="B30" s="8"/>
      <x:c r="C30" s="6"/>
      <x:c r="D30" s="7"/>
      <x:c r="E30" s="6"/>
      <x:c r="F30" s="6"/>
      <x:c r="G30" s="6"/>
      <x:c r="H30" s="9" t="str">
        <x:f>IF(COUNTA(A30:G30)=0,"",IF(AND(A30&lt;&gt;"",COUNTIF($A$10:$A$59,A30)=1,IF(ISNUMBER(B30),AND(B30&gt;=1,B30&lt;=2958465,B30=INT(B30)),FALSE),COUNTIF('График'!$A$12:$A$31,C30)=1,COUNTIFS('График'!$A$12:$A$31,C30,'График'!$C$12:$C$31,"&gt;0")=1,IF(ISNUMBER(D30),AND(D30&lt;&gt;0,D30=ROUND(D30,2)),FALSE),OR(E30="Поступление",E30="Возврат",E30="Исправление"),IF(E30="Поступление",D30&gt;0,IF(E30="Возврат",D30&lt;0,TRUE)),F30&lt;&gt;""),IF(IF(ISNUMBER('График'!$F$4),AND('График'!$F$4&gt;=1,'График'!$F$4&lt;=2958465,'График'!$F$4=INT('График'!$F$4)),FALSE),IF(B30&gt;'График'!$F$4,"После среза","Учтено"),"ПРОВЕРИТЬ: дата среза"),"ПРОВЕРИТЬ: строка"))</x:f>
      </x:c>
    </x:row>
    <x:row r="31" ht="48" customHeight="1">
      <x:c r="A31" s="6"/>
      <x:c r="B31" s="8"/>
      <x:c r="C31" s="6"/>
      <x:c r="D31" s="7"/>
      <x:c r="E31" s="6"/>
      <x:c r="F31" s="6"/>
      <x:c r="G31" s="6"/>
      <x:c r="H31" s="9" t="str">
        <x:f>IF(COUNTA(A31:G31)=0,"",IF(AND(A31&lt;&gt;"",COUNTIF($A$10:$A$59,A31)=1,IF(ISNUMBER(B31),AND(B31&gt;=1,B31&lt;=2958465,B31=INT(B31)),FALSE),COUNTIF('График'!$A$12:$A$31,C31)=1,COUNTIFS('График'!$A$12:$A$31,C31,'График'!$C$12:$C$31,"&gt;0")=1,IF(ISNUMBER(D31),AND(D31&lt;&gt;0,D31=ROUND(D31,2)),FALSE),OR(E31="Поступление",E31="Возврат",E31="Исправление"),IF(E31="Поступление",D31&gt;0,IF(E31="Возврат",D31&lt;0,TRUE)),F31&lt;&gt;""),IF(IF(ISNUMBER('График'!$F$4),AND('График'!$F$4&gt;=1,'График'!$F$4&lt;=2958465,'График'!$F$4=INT('График'!$F$4)),FALSE),IF(B31&gt;'График'!$F$4,"После среза","Учтено"),"ПРОВЕРИТЬ: дата среза"),"ПРОВЕРИТЬ: строка"))</x:f>
      </x:c>
    </x:row>
    <x:row r="32" ht="48" customHeight="1">
      <x:c r="A32" s="6"/>
      <x:c r="B32" s="8"/>
      <x:c r="C32" s="6"/>
      <x:c r="D32" s="7"/>
      <x:c r="E32" s="6"/>
      <x:c r="F32" s="6"/>
      <x:c r="G32" s="6"/>
      <x:c r="H32" s="9" t="str">
        <x:f>IF(COUNTA(A32:G32)=0,"",IF(AND(A32&lt;&gt;"",COUNTIF($A$10:$A$59,A32)=1,IF(ISNUMBER(B32),AND(B32&gt;=1,B32&lt;=2958465,B32=INT(B32)),FALSE),COUNTIF('График'!$A$12:$A$31,C32)=1,COUNTIFS('График'!$A$12:$A$31,C32,'График'!$C$12:$C$31,"&gt;0")=1,IF(ISNUMBER(D32),AND(D32&lt;&gt;0,D32=ROUND(D32,2)),FALSE),OR(E32="Поступление",E32="Возврат",E32="Исправление"),IF(E32="Поступление",D32&gt;0,IF(E32="Возврат",D32&lt;0,TRUE)),F32&lt;&gt;""),IF(IF(ISNUMBER('График'!$F$4),AND('График'!$F$4&gt;=1,'График'!$F$4&lt;=2958465,'График'!$F$4=INT('График'!$F$4)),FALSE),IF(B32&gt;'График'!$F$4,"После среза","Учтено"),"ПРОВЕРИТЬ: дата среза"),"ПРОВЕРИТЬ: строка"))</x:f>
      </x:c>
    </x:row>
    <x:row r="33" ht="48" customHeight="1">
      <x:c r="A33" s="6"/>
      <x:c r="B33" s="8"/>
      <x:c r="C33" s="6"/>
      <x:c r="D33" s="7"/>
      <x:c r="E33" s="6"/>
      <x:c r="F33" s="6"/>
      <x:c r="G33" s="6"/>
      <x:c r="H33" s="9" t="str">
        <x:f>IF(COUNTA(A33:G33)=0,"",IF(AND(A33&lt;&gt;"",COUNTIF($A$10:$A$59,A33)=1,IF(ISNUMBER(B33),AND(B33&gt;=1,B33&lt;=2958465,B33=INT(B33)),FALSE),COUNTIF('График'!$A$12:$A$31,C33)=1,COUNTIFS('График'!$A$12:$A$31,C33,'График'!$C$12:$C$31,"&gt;0")=1,IF(ISNUMBER(D33),AND(D33&lt;&gt;0,D33=ROUND(D33,2)),FALSE),OR(E33="Поступление",E33="Возврат",E33="Исправление"),IF(E33="Поступление",D33&gt;0,IF(E33="Возврат",D33&lt;0,TRUE)),F33&lt;&gt;""),IF(IF(ISNUMBER('График'!$F$4),AND('График'!$F$4&gt;=1,'График'!$F$4&lt;=2958465,'График'!$F$4=INT('График'!$F$4)),FALSE),IF(B33&gt;'График'!$F$4,"После среза","Учтено"),"ПРОВЕРИТЬ: дата среза"),"ПРОВЕРИТЬ: строка"))</x:f>
      </x:c>
    </x:row>
    <x:row r="34" ht="48" customHeight="1">
      <x:c r="A34" s="6"/>
      <x:c r="B34" s="8"/>
      <x:c r="C34" s="6"/>
      <x:c r="D34" s="7"/>
      <x:c r="E34" s="6"/>
      <x:c r="F34" s="6"/>
      <x:c r="G34" s="6"/>
      <x:c r="H34" s="9" t="str">
        <x:f>IF(COUNTA(A34:G34)=0,"",IF(AND(A34&lt;&gt;"",COUNTIF($A$10:$A$59,A34)=1,IF(ISNUMBER(B34),AND(B34&gt;=1,B34&lt;=2958465,B34=INT(B34)),FALSE),COUNTIF('График'!$A$12:$A$31,C34)=1,COUNTIFS('График'!$A$12:$A$31,C34,'График'!$C$12:$C$31,"&gt;0")=1,IF(ISNUMBER(D34),AND(D34&lt;&gt;0,D34=ROUND(D34,2)),FALSE),OR(E34="Поступление",E34="Возврат",E34="Исправление"),IF(E34="Поступление",D34&gt;0,IF(E34="Возврат",D34&lt;0,TRUE)),F34&lt;&gt;""),IF(IF(ISNUMBER('График'!$F$4),AND('График'!$F$4&gt;=1,'График'!$F$4&lt;=2958465,'График'!$F$4=INT('График'!$F$4)),FALSE),IF(B34&gt;'График'!$F$4,"После среза","Учтено"),"ПРОВЕРИТЬ: дата среза"),"ПРОВЕРИТЬ: строка"))</x:f>
      </x:c>
    </x:row>
    <x:row r="35" ht="48" customHeight="1">
      <x:c r="A35" s="6"/>
      <x:c r="B35" s="8"/>
      <x:c r="C35" s="6"/>
      <x:c r="D35" s="7"/>
      <x:c r="E35" s="6"/>
      <x:c r="F35" s="6"/>
      <x:c r="G35" s="6"/>
      <x:c r="H35" s="9" t="str">
        <x:f>IF(COUNTA(A35:G35)=0,"",IF(AND(A35&lt;&gt;"",COUNTIF($A$10:$A$59,A35)=1,IF(ISNUMBER(B35),AND(B35&gt;=1,B35&lt;=2958465,B35=INT(B35)),FALSE),COUNTIF('График'!$A$12:$A$31,C35)=1,COUNTIFS('График'!$A$12:$A$31,C35,'График'!$C$12:$C$31,"&gt;0")=1,IF(ISNUMBER(D35),AND(D35&lt;&gt;0,D35=ROUND(D35,2)),FALSE),OR(E35="Поступление",E35="Возврат",E35="Исправление"),IF(E35="Поступление",D35&gt;0,IF(E35="Возврат",D35&lt;0,TRUE)),F35&lt;&gt;""),IF(IF(ISNUMBER('График'!$F$4),AND('График'!$F$4&gt;=1,'График'!$F$4&lt;=2958465,'График'!$F$4=INT('График'!$F$4)),FALSE),IF(B35&gt;'График'!$F$4,"После среза","Учтено"),"ПРОВЕРИТЬ: дата среза"),"ПРОВЕРИТЬ: строка"))</x:f>
      </x:c>
    </x:row>
    <x:row r="36" ht="48" customHeight="1">
      <x:c r="A36" s="6"/>
      <x:c r="B36" s="8"/>
      <x:c r="C36" s="6"/>
      <x:c r="D36" s="7"/>
      <x:c r="E36" s="6"/>
      <x:c r="F36" s="6"/>
      <x:c r="G36" s="6"/>
      <x:c r="H36" s="9" t="str">
        <x:f>IF(COUNTA(A36:G36)=0,"",IF(AND(A36&lt;&gt;"",COUNTIF($A$10:$A$59,A36)=1,IF(ISNUMBER(B36),AND(B36&gt;=1,B36&lt;=2958465,B36=INT(B36)),FALSE),COUNTIF('График'!$A$12:$A$31,C36)=1,COUNTIFS('График'!$A$12:$A$31,C36,'График'!$C$12:$C$31,"&gt;0")=1,IF(ISNUMBER(D36),AND(D36&lt;&gt;0,D36=ROUND(D36,2)),FALSE),OR(E36="Поступление",E36="Возврат",E36="Исправление"),IF(E36="Поступление",D36&gt;0,IF(E36="Возврат",D36&lt;0,TRUE)),F36&lt;&gt;""),IF(IF(ISNUMBER('График'!$F$4),AND('График'!$F$4&gt;=1,'График'!$F$4&lt;=2958465,'График'!$F$4=INT('График'!$F$4)),FALSE),IF(B36&gt;'График'!$F$4,"После среза","Учтено"),"ПРОВЕРИТЬ: дата среза"),"ПРОВЕРИТЬ: строка"))</x:f>
      </x:c>
    </x:row>
    <x:row r="37" ht="48" customHeight="1">
      <x:c r="A37" s="6"/>
      <x:c r="B37" s="8"/>
      <x:c r="C37" s="6"/>
      <x:c r="D37" s="7"/>
      <x:c r="E37" s="6"/>
      <x:c r="F37" s="6"/>
      <x:c r="G37" s="6"/>
      <x:c r="H37" s="9" t="str">
        <x:f>IF(COUNTA(A37:G37)=0,"",IF(AND(A37&lt;&gt;"",COUNTIF($A$10:$A$59,A37)=1,IF(ISNUMBER(B37),AND(B37&gt;=1,B37&lt;=2958465,B37=INT(B37)),FALSE),COUNTIF('График'!$A$12:$A$31,C37)=1,COUNTIFS('График'!$A$12:$A$31,C37,'График'!$C$12:$C$31,"&gt;0")=1,IF(ISNUMBER(D37),AND(D37&lt;&gt;0,D37=ROUND(D37,2)),FALSE),OR(E37="Поступление",E37="Возврат",E37="Исправление"),IF(E37="Поступление",D37&gt;0,IF(E37="Возврат",D37&lt;0,TRUE)),F37&lt;&gt;""),IF(IF(ISNUMBER('График'!$F$4),AND('График'!$F$4&gt;=1,'График'!$F$4&lt;=2958465,'График'!$F$4=INT('График'!$F$4)),FALSE),IF(B37&gt;'График'!$F$4,"После среза","Учтено"),"ПРОВЕРИТЬ: дата среза"),"ПРОВЕРИТЬ: строка"))</x:f>
      </x:c>
    </x:row>
    <x:row r="38" ht="48" customHeight="1">
      <x:c r="A38" s="6"/>
      <x:c r="B38" s="8"/>
      <x:c r="C38" s="6"/>
      <x:c r="D38" s="7"/>
      <x:c r="E38" s="6"/>
      <x:c r="F38" s="6"/>
      <x:c r="G38" s="6"/>
      <x:c r="H38" s="9" t="str">
        <x:f>IF(COUNTA(A38:G38)=0,"",IF(AND(A38&lt;&gt;"",COUNTIF($A$10:$A$59,A38)=1,IF(ISNUMBER(B38),AND(B38&gt;=1,B38&lt;=2958465,B38=INT(B38)),FALSE),COUNTIF('График'!$A$12:$A$31,C38)=1,COUNTIFS('График'!$A$12:$A$31,C38,'График'!$C$12:$C$31,"&gt;0")=1,IF(ISNUMBER(D38),AND(D38&lt;&gt;0,D38=ROUND(D38,2)),FALSE),OR(E38="Поступление",E38="Возврат",E38="Исправление"),IF(E38="Поступление",D38&gt;0,IF(E38="Возврат",D38&lt;0,TRUE)),F38&lt;&gt;""),IF(IF(ISNUMBER('График'!$F$4),AND('График'!$F$4&gt;=1,'График'!$F$4&lt;=2958465,'График'!$F$4=INT('График'!$F$4)),FALSE),IF(B38&gt;'График'!$F$4,"После среза","Учтено"),"ПРОВЕРИТЬ: дата среза"),"ПРОВЕРИТЬ: строка"))</x:f>
      </x:c>
    </x:row>
    <x:row r="39" ht="48" customHeight="1">
      <x:c r="A39" s="6"/>
      <x:c r="B39" s="8"/>
      <x:c r="C39" s="6"/>
      <x:c r="D39" s="7"/>
      <x:c r="E39" s="6"/>
      <x:c r="F39" s="6"/>
      <x:c r="G39" s="6"/>
      <x:c r="H39" s="9" t="str">
        <x:f>IF(COUNTA(A39:G39)=0,"",IF(AND(A39&lt;&gt;"",COUNTIF($A$10:$A$59,A39)=1,IF(ISNUMBER(B39),AND(B39&gt;=1,B39&lt;=2958465,B39=INT(B39)),FALSE),COUNTIF('График'!$A$12:$A$31,C39)=1,COUNTIFS('График'!$A$12:$A$31,C39,'График'!$C$12:$C$31,"&gt;0")=1,IF(ISNUMBER(D39),AND(D39&lt;&gt;0,D39=ROUND(D39,2)),FALSE),OR(E39="Поступление",E39="Возврат",E39="Исправление"),IF(E39="Поступление",D39&gt;0,IF(E39="Возврат",D39&lt;0,TRUE)),F39&lt;&gt;""),IF(IF(ISNUMBER('График'!$F$4),AND('График'!$F$4&gt;=1,'График'!$F$4&lt;=2958465,'График'!$F$4=INT('График'!$F$4)),FALSE),IF(B39&gt;'График'!$F$4,"После среза","Учтено"),"ПРОВЕРИТЬ: дата среза"),"ПРОВЕРИТЬ: строка"))</x:f>
      </x:c>
    </x:row>
    <x:row r="40" ht="48" customHeight="1">
      <x:c r="A40" s="6"/>
      <x:c r="B40" s="8"/>
      <x:c r="C40" s="6"/>
      <x:c r="D40" s="7"/>
      <x:c r="E40" s="6"/>
      <x:c r="F40" s="6"/>
      <x:c r="G40" s="6"/>
      <x:c r="H40" s="9" t="str">
        <x:f>IF(COUNTA(A40:G40)=0,"",IF(AND(A40&lt;&gt;"",COUNTIF($A$10:$A$59,A40)=1,IF(ISNUMBER(B40),AND(B40&gt;=1,B40&lt;=2958465,B40=INT(B40)),FALSE),COUNTIF('График'!$A$12:$A$31,C40)=1,COUNTIFS('График'!$A$12:$A$31,C40,'График'!$C$12:$C$31,"&gt;0")=1,IF(ISNUMBER(D40),AND(D40&lt;&gt;0,D40=ROUND(D40,2)),FALSE),OR(E40="Поступление",E40="Возврат",E40="Исправление"),IF(E40="Поступление",D40&gt;0,IF(E40="Возврат",D40&lt;0,TRUE)),F40&lt;&gt;""),IF(IF(ISNUMBER('График'!$F$4),AND('График'!$F$4&gt;=1,'График'!$F$4&lt;=2958465,'График'!$F$4=INT('График'!$F$4)),FALSE),IF(B40&gt;'График'!$F$4,"После среза","Учтено"),"ПРОВЕРИТЬ: дата среза"),"ПРОВЕРИТЬ: строка"))</x:f>
      </x:c>
    </x:row>
    <x:row r="41" ht="48" customHeight="1">
      <x:c r="A41" s="6"/>
      <x:c r="B41" s="8"/>
      <x:c r="C41" s="6"/>
      <x:c r="D41" s="7"/>
      <x:c r="E41" s="6"/>
      <x:c r="F41" s="6"/>
      <x:c r="G41" s="6"/>
      <x:c r="H41" s="9" t="str">
        <x:f>IF(COUNTA(A41:G41)=0,"",IF(AND(A41&lt;&gt;"",COUNTIF($A$10:$A$59,A41)=1,IF(ISNUMBER(B41),AND(B41&gt;=1,B41&lt;=2958465,B41=INT(B41)),FALSE),COUNTIF('График'!$A$12:$A$31,C41)=1,COUNTIFS('График'!$A$12:$A$31,C41,'График'!$C$12:$C$31,"&gt;0")=1,IF(ISNUMBER(D41),AND(D41&lt;&gt;0,D41=ROUND(D41,2)),FALSE),OR(E41="Поступление",E41="Возврат",E41="Исправление"),IF(E41="Поступление",D41&gt;0,IF(E41="Возврат",D41&lt;0,TRUE)),F41&lt;&gt;""),IF(IF(ISNUMBER('График'!$F$4),AND('График'!$F$4&gt;=1,'График'!$F$4&lt;=2958465,'График'!$F$4=INT('График'!$F$4)),FALSE),IF(B41&gt;'График'!$F$4,"После среза","Учтено"),"ПРОВЕРИТЬ: дата среза"),"ПРОВЕРИТЬ: строка"))</x:f>
      </x:c>
    </x:row>
    <x:row r="42" ht="48" customHeight="1">
      <x:c r="A42" s="6"/>
      <x:c r="B42" s="8"/>
      <x:c r="C42" s="6"/>
      <x:c r="D42" s="7"/>
      <x:c r="E42" s="6"/>
      <x:c r="F42" s="6"/>
      <x:c r="G42" s="6"/>
      <x:c r="H42" s="9" t="str">
        <x:f>IF(COUNTA(A42:G42)=0,"",IF(AND(A42&lt;&gt;"",COUNTIF($A$10:$A$59,A42)=1,IF(ISNUMBER(B42),AND(B42&gt;=1,B42&lt;=2958465,B42=INT(B42)),FALSE),COUNTIF('График'!$A$12:$A$31,C42)=1,COUNTIFS('График'!$A$12:$A$31,C42,'График'!$C$12:$C$31,"&gt;0")=1,IF(ISNUMBER(D42),AND(D42&lt;&gt;0,D42=ROUND(D42,2)),FALSE),OR(E42="Поступление",E42="Возврат",E42="Исправление"),IF(E42="Поступление",D42&gt;0,IF(E42="Возврат",D42&lt;0,TRUE)),F42&lt;&gt;""),IF(IF(ISNUMBER('График'!$F$4),AND('График'!$F$4&gt;=1,'График'!$F$4&lt;=2958465,'График'!$F$4=INT('График'!$F$4)),FALSE),IF(B42&gt;'График'!$F$4,"После среза","Учтено"),"ПРОВЕРИТЬ: дата среза"),"ПРОВЕРИТЬ: строка"))</x:f>
      </x:c>
    </x:row>
    <x:row r="43" ht="48" customHeight="1">
      <x:c r="A43" s="6"/>
      <x:c r="B43" s="8"/>
      <x:c r="C43" s="6"/>
      <x:c r="D43" s="7"/>
      <x:c r="E43" s="6"/>
      <x:c r="F43" s="6"/>
      <x:c r="G43" s="6"/>
      <x:c r="H43" s="9" t="str">
        <x:f>IF(COUNTA(A43:G43)=0,"",IF(AND(A43&lt;&gt;"",COUNTIF($A$10:$A$59,A43)=1,IF(ISNUMBER(B43),AND(B43&gt;=1,B43&lt;=2958465,B43=INT(B43)),FALSE),COUNTIF('График'!$A$12:$A$31,C43)=1,COUNTIFS('График'!$A$12:$A$31,C43,'График'!$C$12:$C$31,"&gt;0")=1,IF(ISNUMBER(D43),AND(D43&lt;&gt;0,D43=ROUND(D43,2)),FALSE),OR(E43="Поступление",E43="Возврат",E43="Исправление"),IF(E43="Поступление",D43&gt;0,IF(E43="Возврат",D43&lt;0,TRUE)),F43&lt;&gt;""),IF(IF(ISNUMBER('График'!$F$4),AND('График'!$F$4&gt;=1,'График'!$F$4&lt;=2958465,'График'!$F$4=INT('График'!$F$4)),FALSE),IF(B43&gt;'График'!$F$4,"После среза","Учтено"),"ПРОВЕРИТЬ: дата среза"),"ПРОВЕРИТЬ: строка"))</x:f>
      </x:c>
    </x:row>
    <x:row r="44" ht="48" customHeight="1">
      <x:c r="A44" s="6"/>
      <x:c r="B44" s="8"/>
      <x:c r="C44" s="6"/>
      <x:c r="D44" s="7"/>
      <x:c r="E44" s="6"/>
      <x:c r="F44" s="6"/>
      <x:c r="G44" s="6"/>
      <x:c r="H44" s="9" t="str">
        <x:f>IF(COUNTA(A44:G44)=0,"",IF(AND(A44&lt;&gt;"",COUNTIF($A$10:$A$59,A44)=1,IF(ISNUMBER(B44),AND(B44&gt;=1,B44&lt;=2958465,B44=INT(B44)),FALSE),COUNTIF('График'!$A$12:$A$31,C44)=1,COUNTIFS('График'!$A$12:$A$31,C44,'График'!$C$12:$C$31,"&gt;0")=1,IF(ISNUMBER(D44),AND(D44&lt;&gt;0,D44=ROUND(D44,2)),FALSE),OR(E44="Поступление",E44="Возврат",E44="Исправление"),IF(E44="Поступление",D44&gt;0,IF(E44="Возврат",D44&lt;0,TRUE)),F44&lt;&gt;""),IF(IF(ISNUMBER('График'!$F$4),AND('График'!$F$4&gt;=1,'График'!$F$4&lt;=2958465,'График'!$F$4=INT('График'!$F$4)),FALSE),IF(B44&gt;'График'!$F$4,"После среза","Учтено"),"ПРОВЕРИТЬ: дата среза"),"ПРОВЕРИТЬ: строка"))</x:f>
      </x:c>
    </x:row>
    <x:row r="45" ht="48" customHeight="1">
      <x:c r="A45" s="6"/>
      <x:c r="B45" s="8"/>
      <x:c r="C45" s="6"/>
      <x:c r="D45" s="7"/>
      <x:c r="E45" s="6"/>
      <x:c r="F45" s="6"/>
      <x:c r="G45" s="6"/>
      <x:c r="H45" s="9" t="str">
        <x:f>IF(COUNTA(A45:G45)=0,"",IF(AND(A45&lt;&gt;"",COUNTIF($A$10:$A$59,A45)=1,IF(ISNUMBER(B45),AND(B45&gt;=1,B45&lt;=2958465,B45=INT(B45)),FALSE),COUNTIF('График'!$A$12:$A$31,C45)=1,COUNTIFS('График'!$A$12:$A$31,C45,'График'!$C$12:$C$31,"&gt;0")=1,IF(ISNUMBER(D45),AND(D45&lt;&gt;0,D45=ROUND(D45,2)),FALSE),OR(E45="Поступление",E45="Возврат",E45="Исправление"),IF(E45="Поступление",D45&gt;0,IF(E45="Возврат",D45&lt;0,TRUE)),F45&lt;&gt;""),IF(IF(ISNUMBER('График'!$F$4),AND('График'!$F$4&gt;=1,'График'!$F$4&lt;=2958465,'График'!$F$4=INT('График'!$F$4)),FALSE),IF(B45&gt;'График'!$F$4,"После среза","Учтено"),"ПРОВЕРИТЬ: дата среза"),"ПРОВЕРИТЬ: строка"))</x:f>
      </x:c>
    </x:row>
    <x:row r="46" ht="48" customHeight="1">
      <x:c r="A46" s="6"/>
      <x:c r="B46" s="8"/>
      <x:c r="C46" s="6"/>
      <x:c r="D46" s="7"/>
      <x:c r="E46" s="6"/>
      <x:c r="F46" s="6"/>
      <x:c r="G46" s="6"/>
      <x:c r="H46" s="9" t="str">
        <x:f>IF(COUNTA(A46:G46)=0,"",IF(AND(A46&lt;&gt;"",COUNTIF($A$10:$A$59,A46)=1,IF(ISNUMBER(B46),AND(B46&gt;=1,B46&lt;=2958465,B46=INT(B46)),FALSE),COUNTIF('График'!$A$12:$A$31,C46)=1,COUNTIFS('График'!$A$12:$A$31,C46,'График'!$C$12:$C$31,"&gt;0")=1,IF(ISNUMBER(D46),AND(D46&lt;&gt;0,D46=ROUND(D46,2)),FALSE),OR(E46="Поступление",E46="Возврат",E46="Исправление"),IF(E46="Поступление",D46&gt;0,IF(E46="Возврат",D46&lt;0,TRUE)),F46&lt;&gt;""),IF(IF(ISNUMBER('График'!$F$4),AND('График'!$F$4&gt;=1,'График'!$F$4&lt;=2958465,'График'!$F$4=INT('График'!$F$4)),FALSE),IF(B46&gt;'График'!$F$4,"После среза","Учтено"),"ПРОВЕРИТЬ: дата среза"),"ПРОВЕРИТЬ: строка"))</x:f>
      </x:c>
    </x:row>
    <x:row r="47" ht="48" customHeight="1">
      <x:c r="A47" s="6"/>
      <x:c r="B47" s="8"/>
      <x:c r="C47" s="6"/>
      <x:c r="D47" s="7"/>
      <x:c r="E47" s="6"/>
      <x:c r="F47" s="6"/>
      <x:c r="G47" s="6"/>
      <x:c r="H47" s="9" t="str">
        <x:f>IF(COUNTA(A47:G47)=0,"",IF(AND(A47&lt;&gt;"",COUNTIF($A$10:$A$59,A47)=1,IF(ISNUMBER(B47),AND(B47&gt;=1,B47&lt;=2958465,B47=INT(B47)),FALSE),COUNTIF('График'!$A$12:$A$31,C47)=1,COUNTIFS('График'!$A$12:$A$31,C47,'График'!$C$12:$C$31,"&gt;0")=1,IF(ISNUMBER(D47),AND(D47&lt;&gt;0,D47=ROUND(D47,2)),FALSE),OR(E47="Поступление",E47="Возврат",E47="Исправление"),IF(E47="Поступление",D47&gt;0,IF(E47="Возврат",D47&lt;0,TRUE)),F47&lt;&gt;""),IF(IF(ISNUMBER('График'!$F$4),AND('График'!$F$4&gt;=1,'График'!$F$4&lt;=2958465,'График'!$F$4=INT('График'!$F$4)),FALSE),IF(B47&gt;'График'!$F$4,"После среза","Учтено"),"ПРОВЕРИТЬ: дата среза"),"ПРОВЕРИТЬ: строка"))</x:f>
      </x:c>
    </x:row>
    <x:row r="48" ht="48" customHeight="1">
      <x:c r="A48" s="6"/>
      <x:c r="B48" s="8"/>
      <x:c r="C48" s="6"/>
      <x:c r="D48" s="7"/>
      <x:c r="E48" s="6"/>
      <x:c r="F48" s="6"/>
      <x:c r="G48" s="6"/>
      <x:c r="H48" s="9" t="str">
        <x:f>IF(COUNTA(A48:G48)=0,"",IF(AND(A48&lt;&gt;"",COUNTIF($A$10:$A$59,A48)=1,IF(ISNUMBER(B48),AND(B48&gt;=1,B48&lt;=2958465,B48=INT(B48)),FALSE),COUNTIF('График'!$A$12:$A$31,C48)=1,COUNTIFS('График'!$A$12:$A$31,C48,'График'!$C$12:$C$31,"&gt;0")=1,IF(ISNUMBER(D48),AND(D48&lt;&gt;0,D48=ROUND(D48,2)),FALSE),OR(E48="Поступление",E48="Возврат",E48="Исправление"),IF(E48="Поступление",D48&gt;0,IF(E48="Возврат",D48&lt;0,TRUE)),F48&lt;&gt;""),IF(IF(ISNUMBER('График'!$F$4),AND('График'!$F$4&gt;=1,'График'!$F$4&lt;=2958465,'График'!$F$4=INT('График'!$F$4)),FALSE),IF(B48&gt;'График'!$F$4,"После среза","Учтено"),"ПРОВЕРИТЬ: дата среза"),"ПРОВЕРИТЬ: строка"))</x:f>
      </x:c>
    </x:row>
    <x:row r="49" ht="48" customHeight="1">
      <x:c r="A49" s="6"/>
      <x:c r="B49" s="8"/>
      <x:c r="C49" s="6"/>
      <x:c r="D49" s="7"/>
      <x:c r="E49" s="6"/>
      <x:c r="F49" s="6"/>
      <x:c r="G49" s="6"/>
      <x:c r="H49" s="9" t="str">
        <x:f>IF(COUNTA(A49:G49)=0,"",IF(AND(A49&lt;&gt;"",COUNTIF($A$10:$A$59,A49)=1,IF(ISNUMBER(B49),AND(B49&gt;=1,B49&lt;=2958465,B49=INT(B49)),FALSE),COUNTIF('График'!$A$12:$A$31,C49)=1,COUNTIFS('График'!$A$12:$A$31,C49,'График'!$C$12:$C$31,"&gt;0")=1,IF(ISNUMBER(D49),AND(D49&lt;&gt;0,D49=ROUND(D49,2)),FALSE),OR(E49="Поступление",E49="Возврат",E49="Исправление"),IF(E49="Поступление",D49&gt;0,IF(E49="Возврат",D49&lt;0,TRUE)),F49&lt;&gt;""),IF(IF(ISNUMBER('График'!$F$4),AND('График'!$F$4&gt;=1,'График'!$F$4&lt;=2958465,'График'!$F$4=INT('График'!$F$4)),FALSE),IF(B49&gt;'График'!$F$4,"После среза","Учтено"),"ПРОВЕРИТЬ: дата среза"),"ПРОВЕРИТЬ: строка"))</x:f>
      </x:c>
    </x:row>
    <x:row r="50" ht="48" customHeight="1">
      <x:c r="A50" s="6"/>
      <x:c r="B50" s="8"/>
      <x:c r="C50" s="6"/>
      <x:c r="D50" s="7"/>
      <x:c r="E50" s="6"/>
      <x:c r="F50" s="6"/>
      <x:c r="G50" s="6"/>
      <x:c r="H50" s="9" t="str">
        <x:f>IF(COUNTA(A50:G50)=0,"",IF(AND(A50&lt;&gt;"",COUNTIF($A$10:$A$59,A50)=1,IF(ISNUMBER(B50),AND(B50&gt;=1,B50&lt;=2958465,B50=INT(B50)),FALSE),COUNTIF('График'!$A$12:$A$31,C50)=1,COUNTIFS('График'!$A$12:$A$31,C50,'График'!$C$12:$C$31,"&gt;0")=1,IF(ISNUMBER(D50),AND(D50&lt;&gt;0,D50=ROUND(D50,2)),FALSE),OR(E50="Поступление",E50="Возврат",E50="Исправление"),IF(E50="Поступление",D50&gt;0,IF(E50="Возврат",D50&lt;0,TRUE)),F50&lt;&gt;""),IF(IF(ISNUMBER('График'!$F$4),AND('График'!$F$4&gt;=1,'График'!$F$4&lt;=2958465,'График'!$F$4=INT('График'!$F$4)),FALSE),IF(B50&gt;'График'!$F$4,"После среза","Учтено"),"ПРОВЕРИТЬ: дата среза"),"ПРОВЕРИТЬ: строка"))</x:f>
      </x:c>
    </x:row>
    <x:row r="51" ht="48" customHeight="1">
      <x:c r="A51" s="6"/>
      <x:c r="B51" s="8"/>
      <x:c r="C51" s="6"/>
      <x:c r="D51" s="7"/>
      <x:c r="E51" s="6"/>
      <x:c r="F51" s="6"/>
      <x:c r="G51" s="6"/>
      <x:c r="H51" s="9" t="str">
        <x:f>IF(COUNTA(A51:G51)=0,"",IF(AND(A51&lt;&gt;"",COUNTIF($A$10:$A$59,A51)=1,IF(ISNUMBER(B51),AND(B51&gt;=1,B51&lt;=2958465,B51=INT(B51)),FALSE),COUNTIF('График'!$A$12:$A$31,C51)=1,COUNTIFS('График'!$A$12:$A$31,C51,'График'!$C$12:$C$31,"&gt;0")=1,IF(ISNUMBER(D51),AND(D51&lt;&gt;0,D51=ROUND(D51,2)),FALSE),OR(E51="Поступление",E51="Возврат",E51="Исправление"),IF(E51="Поступление",D51&gt;0,IF(E51="Возврат",D51&lt;0,TRUE)),F51&lt;&gt;""),IF(IF(ISNUMBER('График'!$F$4),AND('График'!$F$4&gt;=1,'График'!$F$4&lt;=2958465,'График'!$F$4=INT('График'!$F$4)),FALSE),IF(B51&gt;'График'!$F$4,"После среза","Учтено"),"ПРОВЕРИТЬ: дата среза"),"ПРОВЕРИТЬ: строка"))</x:f>
      </x:c>
    </x:row>
    <x:row r="52" ht="48" customHeight="1">
      <x:c r="A52" s="6"/>
      <x:c r="B52" s="8"/>
      <x:c r="C52" s="6"/>
      <x:c r="D52" s="7"/>
      <x:c r="E52" s="6"/>
      <x:c r="F52" s="6"/>
      <x:c r="G52" s="6"/>
      <x:c r="H52" s="9" t="str">
        <x:f>IF(COUNTA(A52:G52)=0,"",IF(AND(A52&lt;&gt;"",COUNTIF($A$10:$A$59,A52)=1,IF(ISNUMBER(B52),AND(B52&gt;=1,B52&lt;=2958465,B52=INT(B52)),FALSE),COUNTIF('График'!$A$12:$A$31,C52)=1,COUNTIFS('График'!$A$12:$A$31,C52,'График'!$C$12:$C$31,"&gt;0")=1,IF(ISNUMBER(D52),AND(D52&lt;&gt;0,D52=ROUND(D52,2)),FALSE),OR(E52="Поступление",E52="Возврат",E52="Исправление"),IF(E52="Поступление",D52&gt;0,IF(E52="Возврат",D52&lt;0,TRUE)),F52&lt;&gt;""),IF(IF(ISNUMBER('График'!$F$4),AND('График'!$F$4&gt;=1,'График'!$F$4&lt;=2958465,'График'!$F$4=INT('График'!$F$4)),FALSE),IF(B52&gt;'График'!$F$4,"После среза","Учтено"),"ПРОВЕРИТЬ: дата среза"),"ПРОВЕРИТЬ: строка"))</x:f>
      </x:c>
    </x:row>
    <x:row r="53" ht="48" customHeight="1">
      <x:c r="A53" s="6"/>
      <x:c r="B53" s="8"/>
      <x:c r="C53" s="6"/>
      <x:c r="D53" s="7"/>
      <x:c r="E53" s="6"/>
      <x:c r="F53" s="6"/>
      <x:c r="G53" s="6"/>
      <x:c r="H53" s="9" t="str">
        <x:f>IF(COUNTA(A53:G53)=0,"",IF(AND(A53&lt;&gt;"",COUNTIF($A$10:$A$59,A53)=1,IF(ISNUMBER(B53),AND(B53&gt;=1,B53&lt;=2958465,B53=INT(B53)),FALSE),COUNTIF('График'!$A$12:$A$31,C53)=1,COUNTIFS('График'!$A$12:$A$31,C53,'График'!$C$12:$C$31,"&gt;0")=1,IF(ISNUMBER(D53),AND(D53&lt;&gt;0,D53=ROUND(D53,2)),FALSE),OR(E53="Поступление",E53="Возврат",E53="Исправление"),IF(E53="Поступление",D53&gt;0,IF(E53="Возврат",D53&lt;0,TRUE)),F53&lt;&gt;""),IF(IF(ISNUMBER('График'!$F$4),AND('График'!$F$4&gt;=1,'График'!$F$4&lt;=2958465,'График'!$F$4=INT('График'!$F$4)),FALSE),IF(B53&gt;'График'!$F$4,"После среза","Учтено"),"ПРОВЕРИТЬ: дата среза"),"ПРОВЕРИТЬ: строка"))</x:f>
      </x:c>
    </x:row>
    <x:row r="54" ht="48" customHeight="1">
      <x:c r="A54" s="6"/>
      <x:c r="B54" s="8"/>
      <x:c r="C54" s="6"/>
      <x:c r="D54" s="7"/>
      <x:c r="E54" s="6"/>
      <x:c r="F54" s="6"/>
      <x:c r="G54" s="6"/>
      <x:c r="H54" s="9" t="str">
        <x:f>IF(COUNTA(A54:G54)=0,"",IF(AND(A54&lt;&gt;"",COUNTIF($A$10:$A$59,A54)=1,IF(ISNUMBER(B54),AND(B54&gt;=1,B54&lt;=2958465,B54=INT(B54)),FALSE),COUNTIF('График'!$A$12:$A$31,C54)=1,COUNTIFS('График'!$A$12:$A$31,C54,'График'!$C$12:$C$31,"&gt;0")=1,IF(ISNUMBER(D54),AND(D54&lt;&gt;0,D54=ROUND(D54,2)),FALSE),OR(E54="Поступление",E54="Возврат",E54="Исправление"),IF(E54="Поступление",D54&gt;0,IF(E54="Возврат",D54&lt;0,TRUE)),F54&lt;&gt;""),IF(IF(ISNUMBER('График'!$F$4),AND('График'!$F$4&gt;=1,'График'!$F$4&lt;=2958465,'График'!$F$4=INT('График'!$F$4)),FALSE),IF(B54&gt;'График'!$F$4,"После среза","Учтено"),"ПРОВЕРИТЬ: дата среза"),"ПРОВЕРИТЬ: строка"))</x:f>
      </x:c>
    </x:row>
    <x:row r="55" ht="48" customHeight="1">
      <x:c r="A55" s="6"/>
      <x:c r="B55" s="8"/>
      <x:c r="C55" s="6"/>
      <x:c r="D55" s="7"/>
      <x:c r="E55" s="6"/>
      <x:c r="F55" s="6"/>
      <x:c r="G55" s="6"/>
      <x:c r="H55" s="9" t="str">
        <x:f>IF(COUNTA(A55:G55)=0,"",IF(AND(A55&lt;&gt;"",COUNTIF($A$10:$A$59,A55)=1,IF(ISNUMBER(B55),AND(B55&gt;=1,B55&lt;=2958465,B55=INT(B55)),FALSE),COUNTIF('График'!$A$12:$A$31,C55)=1,COUNTIFS('График'!$A$12:$A$31,C55,'График'!$C$12:$C$31,"&gt;0")=1,IF(ISNUMBER(D55),AND(D55&lt;&gt;0,D55=ROUND(D55,2)),FALSE),OR(E55="Поступление",E55="Возврат",E55="Исправление"),IF(E55="Поступление",D55&gt;0,IF(E55="Возврат",D55&lt;0,TRUE)),F55&lt;&gt;""),IF(IF(ISNUMBER('График'!$F$4),AND('График'!$F$4&gt;=1,'График'!$F$4&lt;=2958465,'График'!$F$4=INT('График'!$F$4)),FALSE),IF(B55&gt;'График'!$F$4,"После среза","Учтено"),"ПРОВЕРИТЬ: дата среза"),"ПРОВЕРИТЬ: строка"))</x:f>
      </x:c>
    </x:row>
    <x:row r="56" ht="48" customHeight="1">
      <x:c r="A56" s="6"/>
      <x:c r="B56" s="8"/>
      <x:c r="C56" s="6"/>
      <x:c r="D56" s="7"/>
      <x:c r="E56" s="6"/>
      <x:c r="F56" s="6"/>
      <x:c r="G56" s="6"/>
      <x:c r="H56" s="9" t="str">
        <x:f>IF(COUNTA(A56:G56)=0,"",IF(AND(A56&lt;&gt;"",COUNTIF($A$10:$A$59,A56)=1,IF(ISNUMBER(B56),AND(B56&gt;=1,B56&lt;=2958465,B56=INT(B56)),FALSE),COUNTIF('График'!$A$12:$A$31,C56)=1,COUNTIFS('График'!$A$12:$A$31,C56,'График'!$C$12:$C$31,"&gt;0")=1,IF(ISNUMBER(D56),AND(D56&lt;&gt;0,D56=ROUND(D56,2)),FALSE),OR(E56="Поступление",E56="Возврат",E56="Исправление"),IF(E56="Поступление",D56&gt;0,IF(E56="Возврат",D56&lt;0,TRUE)),F56&lt;&gt;""),IF(IF(ISNUMBER('График'!$F$4),AND('График'!$F$4&gt;=1,'График'!$F$4&lt;=2958465,'График'!$F$4=INT('График'!$F$4)),FALSE),IF(B56&gt;'График'!$F$4,"После среза","Учтено"),"ПРОВЕРИТЬ: дата среза"),"ПРОВЕРИТЬ: строка"))</x:f>
      </x:c>
    </x:row>
    <x:row r="57" ht="48" customHeight="1">
      <x:c r="A57" s="6"/>
      <x:c r="B57" s="8"/>
      <x:c r="C57" s="6"/>
      <x:c r="D57" s="7"/>
      <x:c r="E57" s="6"/>
      <x:c r="F57" s="6"/>
      <x:c r="G57" s="6"/>
      <x:c r="H57" s="9" t="str">
        <x:f>IF(COUNTA(A57:G57)=0,"",IF(AND(A57&lt;&gt;"",COUNTIF($A$10:$A$59,A57)=1,IF(ISNUMBER(B57),AND(B57&gt;=1,B57&lt;=2958465,B57=INT(B57)),FALSE),COUNTIF('График'!$A$12:$A$31,C57)=1,COUNTIFS('График'!$A$12:$A$31,C57,'График'!$C$12:$C$31,"&gt;0")=1,IF(ISNUMBER(D57),AND(D57&lt;&gt;0,D57=ROUND(D57,2)),FALSE),OR(E57="Поступление",E57="Возврат",E57="Исправление"),IF(E57="Поступление",D57&gt;0,IF(E57="Возврат",D57&lt;0,TRUE)),F57&lt;&gt;""),IF(IF(ISNUMBER('График'!$F$4),AND('График'!$F$4&gt;=1,'График'!$F$4&lt;=2958465,'График'!$F$4=INT('График'!$F$4)),FALSE),IF(B57&gt;'График'!$F$4,"После среза","Учтено"),"ПРОВЕРИТЬ: дата среза"),"ПРОВЕРИТЬ: строка"))</x:f>
      </x:c>
    </x:row>
    <x:row r="58" ht="48" customHeight="1">
      <x:c r="A58" s="6"/>
      <x:c r="B58" s="8"/>
      <x:c r="C58" s="6"/>
      <x:c r="D58" s="7"/>
      <x:c r="E58" s="6"/>
      <x:c r="F58" s="6"/>
      <x:c r="G58" s="6"/>
      <x:c r="H58" s="9" t="str">
        <x:f>IF(COUNTA(A58:G58)=0,"",IF(AND(A58&lt;&gt;"",COUNTIF($A$10:$A$59,A58)=1,IF(ISNUMBER(B58),AND(B58&gt;=1,B58&lt;=2958465,B58=INT(B58)),FALSE),COUNTIF('График'!$A$12:$A$31,C58)=1,COUNTIFS('График'!$A$12:$A$31,C58,'График'!$C$12:$C$31,"&gt;0")=1,IF(ISNUMBER(D58),AND(D58&lt;&gt;0,D58=ROUND(D58,2)),FALSE),OR(E58="Поступление",E58="Возврат",E58="Исправление"),IF(E58="Поступление",D58&gt;0,IF(E58="Возврат",D58&lt;0,TRUE)),F58&lt;&gt;""),IF(IF(ISNUMBER('График'!$F$4),AND('График'!$F$4&gt;=1,'График'!$F$4&lt;=2958465,'График'!$F$4=INT('График'!$F$4)),FALSE),IF(B58&gt;'График'!$F$4,"После среза","Учтено"),"ПРОВЕРИТЬ: дата среза"),"ПРОВЕРИТЬ: строка"))</x:f>
      </x:c>
    </x:row>
    <x:row r="59" ht="48" customHeight="1">
      <x:c r="A59" s="6"/>
      <x:c r="B59" s="8"/>
      <x:c r="C59" s="6"/>
      <x:c r="D59" s="7"/>
      <x:c r="E59" s="6"/>
      <x:c r="F59" s="6"/>
      <x:c r="G59" s="6"/>
      <x:c r="H59" s="9" t="str">
        <x:f>IF(COUNTA(A59:G59)=0,"",IF(AND(A59&lt;&gt;"",COUNTIF($A$10:$A$59,A59)=1,IF(ISNUMBER(B59),AND(B59&gt;=1,B59&lt;=2958465,B59=INT(B59)),FALSE),COUNTIF('График'!$A$12:$A$31,C59)=1,COUNTIFS('График'!$A$12:$A$31,C59,'График'!$C$12:$C$31,"&gt;0")=1,IF(ISNUMBER(D59),AND(D59&lt;&gt;0,D59=ROUND(D59,2)),FALSE),OR(E59="Поступление",E59="Возврат",E59="Исправление"),IF(E59="Поступление",D59&gt;0,IF(E59="Возврат",D59&lt;0,TRUE)),F59&lt;&gt;""),IF(IF(ISNUMBER('График'!$F$4),AND('График'!$F$4&gt;=1,'График'!$F$4&lt;=2958465,'График'!$F$4=INT('График'!$F$4)),FALSE),IF(B59&gt;'График'!$F$4,"После среза","Учтено"),"ПРОВЕРИТЬ: дата среза"),"ПРОВЕРИТЬ: строка"))</x:f>
      </x:c>
    </x:row>
    <x:row r="60" ht="26" customHeight="1">
      <x:c r="A60" s="2"/>
      <x:c r="B60" s="2"/>
      <x:c r="C60" s="2"/>
      <x:c r="D60" s="2"/>
      <x:c r="E60" s="2"/>
      <x:c r="F60" s="2"/>
      <x:c r="G60" s="2"/>
      <x:c r="H60" s="2"/>
    </x:row>
    <x:row r="61" ht="26" customHeight="1">
      <x:c r="A61" s="2" t="str">
        <x:v>Не удаляйте исходную запись ради исправления: внесите отдельную корректировку со ссылкой на её ID и объяснением.</x:v>
      </x:c>
      <x:c r="B61" s="2"/>
      <x:c r="C61" s="2"/>
      <x:c r="D61" s="2"/>
      <x:c r="E61" s="2"/>
      <x:c r="F61" s="2"/>
      <x:c r="G61" s="2"/>
      <x:c r="H61" s="2"/>
    </x:row>
    <x:row r="62" ht="26" customHeight="1">
      <x:c r="A62" s="2" t="str">
        <x:v>«Возврат» означает реальный возврат по источнику; «Исправление» — исправление записи. Отрицательный итог этапа требует проверки.</x:v>
      </x:c>
      <x:c r="B62" s="2"/>
      <x:c r="C62" s="2"/>
      <x:c r="D62" s="2"/>
      <x:c r="E62" s="2"/>
      <x:c r="F62" s="2"/>
      <x:c r="G62" s="2"/>
      <x:c r="H62" s="2"/>
    </x:row>
    <x:row r="63" ht="26" customHeight="1">
      <x:c r="A63" s="2" t="str">
        <x:v>Источник примера: условные данные TrueTell; никакие реальные платежи или банковские операции этим файлом не подтверждаются.</x:v>
      </x:c>
      <x:c r="B63" s="2"/>
      <x:c r="C63" s="2"/>
      <x:c r="D63" s="2"/>
      <x:c r="E63" s="2"/>
      <x:c r="F63" s="2"/>
      <x:c r="G63" s="2"/>
      <x:c r="H63" s="2"/>
    </x:row>
    <x:row r="64" ht="26" customHeight="1">
      <x:c r="A64" s="2"/>
      <x:c r="B64" s="2"/>
      <x:c r="C64" s="2"/>
      <x:c r="D64" s="2"/>
      <x:c r="E64" s="2"/>
      <x:c r="F64" s="2"/>
      <x:c r="G64" s="2"/>
      <x:c r="H64" s="2"/>
    </x:row>
    <x:row r="65" ht="26" customHeight="1">
      <x:c r="A65" s="2"/>
      <x:c r="B65" s="2"/>
      <x:c r="C65" s="2"/>
      <x:c r="D65" s="2"/>
      <x:c r="E65" s="2"/>
      <x:c r="F65" s="2"/>
      <x:c r="G65" s="2"/>
      <x:c r="H65" s="2"/>
    </x:row>
  </x:sheetData>
  <x:conditionalFormatting sqref="H10:H59">
    <x:cfRule type="beginsWith" dxfId="1" priority="1" operator="beginsWith" text="ПРОВЕРИТЬ"/>
  </x:conditionalFormatting>
  <x:dataValidations count="2">
    <x:dataValidation type="list" sqref="C10:C59">
      <x:formula1>"Э1,Э2,Э3,Э4,Э5,Э6,Э7,Э8,Э9,Э10,Э11,Э12,Э13,Э14,Э15,Э16,Э17,Э18,Э19,Э20"</x:formula1>
    </x:dataValidation>
    <x:dataValidation type="list" sqref="E10:E59">
      <x:formula1>"Поступление,Возврат,Исправление"</x:formula1>
    </x:dataValidation>
  </x:dataValidations>
  <x:pageMargins left="0.7" right="0.7" top="0.75" bottom="0.75" header="0.3" footer="0.3"/>
</x:worksheet>
</file>